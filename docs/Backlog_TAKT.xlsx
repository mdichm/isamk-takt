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Lots" sheetId="3" state="visible" r:id="rId3"/>
    <sheet xmlns:r="http://schemas.openxmlformats.org/officeDocument/2006/relationships" name="Epics" sheetId="4" state="visible" r:id="rId4"/>
  </sheets>
  <definedNames>
    <definedName name="_xlnm._FilterDatabase" localSheetId="1" hidden="1">'Tickets'!$A$1:$P$211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9363C"/>
      </patternFill>
    </fill>
  </fills>
  <borders count="2">
    <border>
      <left/>
      <right/>
      <top/>
      <bottom/>
      <diagonal/>
    </border>
    <border>
      <left style="thin">
        <color rgb="00DDE5E4"/>
      </left>
      <right style="thin">
        <color rgb="00DDE5E4"/>
      </right>
      <top style="thin">
        <color rgb="00DDE5E4"/>
      </top>
      <bottom style="thin">
        <color rgb="00DDE5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TAKT — Backlog de référence, version 1.0</t>
        </is>
      </c>
    </row>
    <row r="2">
      <c r="A2" s="2" t="inlineStr">
        <is>
          <t>Version 1.0 · 3 octobre 2026. Source des tickets : Backlog_TAKT_tickets.csv (séparateur « ; »).</t>
        </is>
      </c>
    </row>
    <row r="3">
      <c r="A3" s="2" t="inlineStr"/>
    </row>
    <row r="4">
      <c r="A4" s="3" t="inlineStr">
        <is>
          <t>Lecture</t>
        </is>
      </c>
    </row>
    <row r="5">
      <c r="A5" s="2" t="inlineStr">
        <is>
          <t>Chaque ticket cite les exigences de la spécification fonctionnelle (codes EX-…, colonne « Réf. SF ») et les sections de la spécification technique (colonne « Réf. ST »).</t>
        </is>
      </c>
    </row>
    <row r="6">
      <c r="A6" s="2" t="inlineStr">
        <is>
          <t>Un ticket sans exigence est un ticket technique, de test ou un spike, justifié par la ST.</t>
        </is>
      </c>
    </row>
    <row r="7">
      <c r="A7" s="2" t="inlineStr">
        <is>
          <t>Les totaux des feuilles Lots et Epics sont calculés par formule depuis la feuille Tickets.</t>
        </is>
      </c>
    </row>
    <row r="8">
      <c r="A8" s="2" t="inlineStr">
        <is>
          <t>Les cellules Statut et Sprint de la feuille Tickets sont à renseigner par l'équipe.</t>
        </is>
      </c>
    </row>
    <row r="9">
      <c r="A9" s="2" t="inlineStr">
        <is>
          <t>La matrice de traçabilité est générée par tools/verifier_coherence.py (TRACABILITE_TAKT.md).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26" customWidth="1" min="4" max="4"/>
    <col width="15" customWidth="1" min="5" max="5"/>
    <col width="38" customWidth="1" min="6" max="6"/>
    <col width="52" customWidth="1" min="7" max="7"/>
    <col width="70" customWidth="1" min="8" max="8"/>
    <col width="24" customWidth="1" min="9" max="9"/>
    <col width="22" customWidth="1" min="10" max="10"/>
    <col width="10" customWidth="1" min="11" max="11"/>
    <col width="10" customWidth="1" min="12" max="12"/>
    <col width="8" customWidth="1" min="13" max="13"/>
    <col width="22" customWidth="1" min="14" max="14"/>
    <col width="10" customWidth="1" min="15" max="15"/>
    <col width="8" customWidth="1" min="16" max="16"/>
  </cols>
  <sheetData>
    <row r="1">
      <c r="A1" s="4" t="inlineStr">
        <is>
          <t>ID</t>
        </is>
      </c>
      <c r="B1" s="4" t="inlineStr">
        <is>
          <t>Lot</t>
        </is>
      </c>
      <c r="C1" s="4" t="inlineStr">
        <is>
          <t>Epic ID</t>
        </is>
      </c>
      <c r="D1" s="4" t="inlineStr">
        <is>
          <t>Epic</t>
        </is>
      </c>
      <c r="E1" s="4" t="inlineStr">
        <is>
          <t>Type</t>
        </is>
      </c>
      <c r="F1" s="4" t="inlineStr">
        <is>
          <t>Titre</t>
        </is>
      </c>
      <c r="G1" s="4" t="inlineStr">
        <is>
          <t>Description</t>
        </is>
      </c>
      <c r="H1" s="4" t="inlineStr">
        <is>
          <t>Critères d'acceptation</t>
        </is>
      </c>
      <c r="I1" s="4" t="inlineStr">
        <is>
          <t>Réf. SF</t>
        </is>
      </c>
      <c r="J1" s="4" t="inlineStr">
        <is>
          <t>Réf. ST</t>
        </is>
      </c>
      <c r="K1" s="4" t="inlineStr">
        <is>
          <t>Profil</t>
        </is>
      </c>
      <c r="L1" s="4" t="inlineStr">
        <is>
          <t>Priorité</t>
        </is>
      </c>
      <c r="M1" s="4" t="inlineStr">
        <is>
          <t>Points</t>
        </is>
      </c>
      <c r="N1" s="4" t="inlineStr">
        <is>
          <t>Dépendances</t>
        </is>
      </c>
      <c r="O1" s="4" t="inlineStr">
        <is>
          <t>Statut</t>
        </is>
      </c>
      <c r="P1" s="4" t="inlineStr">
        <is>
          <t>Sprint</t>
        </is>
      </c>
    </row>
    <row r="2">
      <c r="A2" s="5" t="inlineStr">
        <is>
          <t>L0-01</t>
        </is>
      </c>
      <c r="B2" s="5" t="inlineStr">
        <is>
          <t>L0</t>
        </is>
      </c>
      <c r="C2" s="5" t="inlineStr">
        <is>
          <t>E0.1</t>
        </is>
      </c>
      <c r="D2" s="5" t="inlineStr">
        <is>
          <t>Monorepo &amp; CI/CD</t>
        </is>
      </c>
      <c r="E2" s="5" t="inlineStr">
        <is>
          <t>Tâche technique</t>
        </is>
      </c>
      <c r="F2" s="5" t="inlineStr">
        <is>
          <t>Initialiser le monorepo</t>
        </is>
      </c>
      <c r="G2" s="5" t="inlineStr">
        <is>
          <t>Créer apps (web, api, worker) et packages (contracts, conflict-engine, charge-engine, engine-fet, design-tokens, db).</t>
        </is>
      </c>
      <c r="H2" s="5" t="inlineStr">
        <is>
          <t>- Arborescence conforme à ST §1.5
- Une commande unique lance lint, typecheck et build sur tous les paquets
- TypeScript strict activé partout
- Règles de dépendance entre modules vérifiées par le lint (un module n'importe que les interfaces des autres)</t>
        </is>
      </c>
      <c r="I2" s="5" t="inlineStr">
        <is>
          <t>EX-NFR-09</t>
        </is>
      </c>
      <c r="J2" s="5" t="inlineStr">
        <is>
          <t>§1.5, §1.4</t>
        </is>
      </c>
      <c r="K2" s="5" t="inlineStr">
        <is>
          <t>DEVOPS</t>
        </is>
      </c>
      <c r="L2" s="5" t="inlineStr">
        <is>
          <t>Must</t>
        </is>
      </c>
      <c r="M2" s="5" t="n">
        <v>3</v>
      </c>
      <c r="N2" s="5" t="inlineStr"/>
      <c r="O2" s="5" t="inlineStr">
        <is>
          <t>Terminé</t>
        </is>
      </c>
      <c r="P2" s="5" t="inlineStr"/>
    </row>
    <row r="3">
      <c r="A3" s="5" t="inlineStr">
        <is>
          <t>L0-02</t>
        </is>
      </c>
      <c r="B3" s="5" t="inlineStr">
        <is>
          <t>L0</t>
        </is>
      </c>
      <c r="C3" s="5" t="inlineStr">
        <is>
          <t>E0.1</t>
        </is>
      </c>
      <c r="D3" s="5" t="inlineStr">
        <is>
          <t>Monorepo &amp; CI/CD</t>
        </is>
      </c>
      <c r="E3" s="5" t="inlineStr">
        <is>
          <t>Tâche technique</t>
        </is>
      </c>
      <c r="F3" s="5" t="inlineStr">
        <is>
          <t>Pipeline CI/CD et registre d'images privé</t>
        </is>
      </c>
      <c r="G3" s="5" t="inlineStr">
        <is>
          <t>Lint, typecheck, tests, build d'images publiées dans un registre privé interne, migrations, déploiement par environnement par scripts.</t>
        </is>
      </c>
      <c r="H3" s="5" t="inlineStr">
        <is>
          <t>- Une PR déclenche lint, typecheck, tests et build
- Le scan des dépendances, des secrets et des images est exécuté
- Les images sont publiées dans le registre privé interne
- Un déploiement dev est automatique après merge</t>
        </is>
      </c>
      <c r="I3" s="5" t="inlineStr">
        <is>
          <t>EX-NFR-02</t>
        </is>
      </c>
      <c r="J3" s="5" t="inlineStr">
        <is>
          <t>§5.5, §1.8</t>
        </is>
      </c>
      <c r="K3" s="5" t="inlineStr">
        <is>
          <t>DEVOPS</t>
        </is>
      </c>
      <c r="L3" s="5" t="inlineStr">
        <is>
          <t>Must</t>
        </is>
      </c>
      <c r="M3" s="5" t="n">
        <v>5</v>
      </c>
      <c r="N3" s="5" t="inlineStr">
        <is>
          <t>L0-01</t>
        </is>
      </c>
      <c r="O3" s="5" t="inlineStr">
        <is>
          <t>Terminé</t>
        </is>
      </c>
      <c r="P3" s="5" t="inlineStr"/>
    </row>
    <row r="4">
      <c r="A4" s="5" t="inlineStr">
        <is>
          <t>L0-03</t>
        </is>
      </c>
      <c r="B4" s="5" t="inlineStr">
        <is>
          <t>L0</t>
        </is>
      </c>
      <c r="C4" s="5" t="inlineStr">
        <is>
          <t>E0.1</t>
        </is>
      </c>
      <c r="D4" s="5" t="inlineStr">
        <is>
          <t>Monorepo &amp; CI/CD</t>
        </is>
      </c>
      <c r="E4" s="5" t="inlineStr">
        <is>
          <t>Tâche technique</t>
        </is>
      </c>
      <c r="F4" s="5" t="inlineStr">
        <is>
          <t>Paquet contracts (Zod + types OpenAPI)</t>
        </is>
      </c>
      <c r="G4" s="5" t="inlineStr">
        <is>
          <t>Schémas partagés front/back et génération des types clients.</t>
        </is>
      </c>
      <c r="H4" s="5" t="inlineStr">
        <is>
          <t>- Les schémas Zod sont importables par api et web
- Les types clients sont générés depuis l'OpenAPI
- Un changement de contrat casse le build si non répercuté</t>
        </is>
      </c>
      <c r="I4" s="5" t="inlineStr">
        <is>
          <t>—</t>
        </is>
      </c>
      <c r="J4" s="5" t="inlineStr">
        <is>
          <t>§3.1, §5.3</t>
        </is>
      </c>
      <c r="K4" s="5" t="inlineStr">
        <is>
          <t>BACK</t>
        </is>
      </c>
      <c r="L4" s="5" t="inlineStr">
        <is>
          <t>Must</t>
        </is>
      </c>
      <c r="M4" s="5" t="n">
        <v>3</v>
      </c>
      <c r="N4" s="5" t="inlineStr">
        <is>
          <t>L0-01</t>
        </is>
      </c>
      <c r="O4" s="5" t="inlineStr">
        <is>
          <t>Terminé</t>
        </is>
      </c>
      <c r="P4" s="5" t="inlineStr"/>
    </row>
    <row r="5">
      <c r="A5" s="5" t="inlineStr">
        <is>
          <t>L0-04</t>
        </is>
      </c>
      <c r="B5" s="5" t="inlineStr">
        <is>
          <t>L0</t>
        </is>
      </c>
      <c r="C5" s="5" t="inlineStr">
        <is>
          <t>E0.1</t>
        </is>
      </c>
      <c r="D5" s="5" t="inlineStr">
        <is>
          <t>Monorepo &amp; CI/CD</t>
        </is>
      </c>
      <c r="E5" s="5" t="inlineStr">
        <is>
          <t>Tâche technique</t>
        </is>
      </c>
      <c r="F5" s="5" t="inlineStr">
        <is>
          <t>Prisma initial et migrations SQL brutes</t>
        </is>
      </c>
      <c r="G5" s="5" t="inlineStr">
        <is>
          <t>Schéma d'amorçage (User, UserRole, RefreshToken, AuditLog), identifiants UUID, mécanisme de migrations --create-only, Testcontainers.</t>
        </is>
      </c>
      <c r="H5" s="5" t="inlineStr">
        <is>
          <t>- Les migrations s'appliquent sur une base vide en CI
- Une migration SQL brute (index partiel, trigger) est rejouée avec succès
- Tests d'intégration PostgreSQL via Testcontainers opérationnels
- Les clés primaires sont des UUID et les codes fonctionnels sont distincts des identifiants techniques</t>
        </is>
      </c>
      <c r="I5" s="5" t="inlineStr">
        <is>
          <t>EX-DAT-01</t>
        </is>
      </c>
      <c r="J5" s="5" t="inlineStr">
        <is>
          <t>§2.2, §2.4</t>
        </is>
      </c>
      <c r="K5" s="5" t="inlineStr">
        <is>
          <t>BACK</t>
        </is>
      </c>
      <c r="L5" s="5" t="inlineStr">
        <is>
          <t>Must</t>
        </is>
      </c>
      <c r="M5" s="5" t="n">
        <v>5</v>
      </c>
      <c r="N5" s="5" t="inlineStr">
        <is>
          <t>L0-01</t>
        </is>
      </c>
      <c r="O5" s="5" t="inlineStr">
        <is>
          <t>Terminé</t>
        </is>
      </c>
      <c r="P5" s="5" t="inlineStr"/>
    </row>
    <row r="6">
      <c r="A6" s="5" t="inlineStr">
        <is>
          <t>L0-05</t>
        </is>
      </c>
      <c r="B6" s="5" t="inlineStr">
        <is>
          <t>L0</t>
        </is>
      </c>
      <c r="C6" s="5" t="inlineStr">
        <is>
          <t>E0.1</t>
        </is>
      </c>
      <c r="D6" s="5" t="inlineStr">
        <is>
          <t>Monorepo &amp; CI/CD</t>
        </is>
      </c>
      <c r="E6" s="5" t="inlineStr">
        <is>
          <t>Tâche technique</t>
        </is>
      </c>
      <c r="F6" s="5" t="inlineStr">
        <is>
          <t>Intégration des tokens de conception</t>
        </is>
      </c>
      <c r="G6" s="5" t="inlineStr">
        <is>
          <t>Paquet design-tokens : génération des variables CSS depuis TAKT_design_tokens_v2_3_6.json (charte V2.3.6, clés d'état = codes API), configuration Tailwind, polices Sora, Inter et Black Ops One auto-hébergées, logo maître SVG, icônes métier SVG.</t>
        </is>
      </c>
      <c r="H6" s="5" t="inlineStr">
        <is>
          <t>- Les couleurs de l'interface proviennent exclusivement des variables CSS générées, sans valeur hexadécimale en dur hors du paquet
- Aucune requête réseau externe pour les polices
- Black Ops One n'est utilisée que pour la signature de marque « TAKT » ; le logo est toujours le SVG maître, jamais reconstruit en texte
- OFL-Black-Ops-One.txt est conservé avec la police dans le dépôt et dans l'image web
- Les couleurs d'état sont lues uniquement depuis states.*.*.text (texte) et states.*.*.color (icône, bordure) ; le lint interdit color en texte
- Le contraste texte 4,5:1 et composant 3:1 est vérifié sur Ivory, Warm, Inset, Card et Elevated ; seul color.navigation_on_deep.text_disabled est exempté ; le build échoue en cas d'écart
- Les icônes d'état référencées par les tokens existent dans lucide-react (version épinglée) ou dans le dossier icons/ ; un test échoue sinon</t>
        </is>
      </c>
      <c r="I6" s="5" t="inlineStr">
        <is>
          <t>EX-NFR-10</t>
        </is>
      </c>
      <c r="J6" s="5" t="inlineStr">
        <is>
          <t>§0.1</t>
        </is>
      </c>
      <c r="K6" s="5" t="inlineStr">
        <is>
          <t>FRONT</t>
        </is>
      </c>
      <c r="L6" s="5" t="inlineStr">
        <is>
          <t>Must</t>
        </is>
      </c>
      <c r="M6" s="5" t="n">
        <v>5</v>
      </c>
      <c r="N6" s="5" t="inlineStr">
        <is>
          <t>L0-01</t>
        </is>
      </c>
      <c r="O6" s="5" t="inlineStr">
        <is>
          <t>Terminé</t>
        </is>
      </c>
      <c r="P6" s="5" t="inlineStr"/>
    </row>
    <row r="7">
      <c r="A7" s="5" t="inlineStr">
        <is>
          <t>L0-06</t>
        </is>
      </c>
      <c r="B7" s="5" t="inlineStr">
        <is>
          <t>L0</t>
        </is>
      </c>
      <c r="C7" s="5" t="inlineStr">
        <is>
          <t>E0.2</t>
        </is>
      </c>
      <c r="D7" s="5" t="inlineStr">
        <is>
          <t>Infrastructure sur site</t>
        </is>
      </c>
      <c r="E7" s="5" t="inlineStr">
        <is>
          <t>Tâche technique</t>
        </is>
      </c>
      <c r="F7" s="5" t="inlineStr">
        <is>
          <t>Réseau et périmètre sur site</t>
        </is>
      </c>
      <c r="G7" s="5" t="inlineStr">
        <is>
          <t>Nginx en reverse proxy (TLS, limitation de débit), pare-feu, réseau de conteneurs interne, route sortante unique de l'API vers le SMTP.</t>
        </is>
      </c>
      <c r="H7" s="5" t="inlineStr">
        <is>
          <t>- Seul le port 443 de Nginx est exposé sur le réseau interne
- API, worker et base accessibles uniquement depuis le réseau de conteneurs
- La limitation de débit par IP est active
- Le worker n'a aucune route sortante ; l'API n'a que la route vers l'hôte et le port SMTP</t>
        </is>
      </c>
      <c r="I7" s="5" t="inlineStr">
        <is>
          <t>EX-NFR-01</t>
        </is>
      </c>
      <c r="J7" s="5" t="inlineStr">
        <is>
          <t>§5.3, §1.8</t>
        </is>
      </c>
      <c r="K7" s="5" t="inlineStr">
        <is>
          <t>DEVOPS</t>
        </is>
      </c>
      <c r="L7" s="5" t="inlineStr">
        <is>
          <t>Must</t>
        </is>
      </c>
      <c r="M7" s="5" t="n">
        <v>8</v>
      </c>
      <c r="N7" s="5" t="inlineStr">
        <is>
          <t>L0-01</t>
        </is>
      </c>
      <c r="O7" s="5" t="inlineStr">
        <is>
          <t>Terminé</t>
        </is>
      </c>
      <c r="P7" s="5" t="inlineStr"/>
    </row>
    <row r="8">
      <c r="A8" s="5" t="inlineStr">
        <is>
          <t>L0-07</t>
        </is>
      </c>
      <c r="B8" s="5" t="inlineStr">
        <is>
          <t>L0</t>
        </is>
      </c>
      <c r="C8" s="5" t="inlineStr">
        <is>
          <t>E0.2</t>
        </is>
      </c>
      <c r="D8" s="5" t="inlineStr">
        <is>
          <t>Infrastructure sur site</t>
        </is>
      </c>
      <c r="E8" s="5" t="inlineStr">
        <is>
          <t>Tâche technique</t>
        </is>
      </c>
      <c r="F8" s="5" t="inlineStr">
        <is>
          <t>Données, fichiers et secrets sur site</t>
        </is>
      </c>
      <c r="G8" s="5" t="inlineStr">
        <is>
          <t>PostgreSQL 16, volume de fichiers derrière le port FileStore sur disque chiffré, file de jobs pg-boss (generation, export, email), secrets en fichiers, rôles de base.</t>
        </is>
      </c>
      <c r="H8" s="5" t="inlineStr">
        <is>
          <t>- Disques et volumes de fichiers chiffrés (LUKS)
- Rôles app_rw, worker_rw, audit_ro et audit_purge créés avec droits minimaux
- Les secrets sont montés en fichiers en lecture seule, absents des images
- File d'échecs configurée avec reprise après 3 tentatives
- Le port FileStore est la seule interface d'accès aux fichiers</t>
        </is>
      </c>
      <c r="I8" s="5" t="inlineStr">
        <is>
          <t>EX-NFR-01, EX-NFR-06</t>
        </is>
      </c>
      <c r="J8" s="5" t="inlineStr">
        <is>
          <t>§1.8, §5.3, §4.19</t>
        </is>
      </c>
      <c r="K8" s="5" t="inlineStr">
        <is>
          <t>DEVOPS</t>
        </is>
      </c>
      <c r="L8" s="5" t="inlineStr">
        <is>
          <t>Must</t>
        </is>
      </c>
      <c r="M8" s="5" t="n">
        <v>8</v>
      </c>
      <c r="N8" s="5" t="inlineStr">
        <is>
          <t>L0-06</t>
        </is>
      </c>
      <c r="O8" s="5" t="inlineStr">
        <is>
          <t>Terminé</t>
        </is>
      </c>
      <c r="P8" s="5" t="inlineStr"/>
    </row>
    <row r="9">
      <c r="A9" s="5" t="inlineStr">
        <is>
          <t>L0-08</t>
        </is>
      </c>
      <c r="B9" s="5" t="inlineStr">
        <is>
          <t>L0</t>
        </is>
      </c>
      <c r="C9" s="5" t="inlineStr">
        <is>
          <t>E0.2</t>
        </is>
      </c>
      <c r="D9" s="5" t="inlineStr">
        <is>
          <t>Infrastructure sur site</t>
        </is>
      </c>
      <c r="E9" s="5" t="inlineStr">
        <is>
          <t>Tâche technique</t>
        </is>
      </c>
      <c r="F9" s="5" t="inlineStr">
        <is>
          <t>Calcul et environnements sur site</t>
        </is>
      </c>
      <c r="G9" s="5" t="inlineStr">
        <is>
          <t>Docker Compose pour web, api et worker, trois environnements, redémarrage progressif de l'API.</t>
        </is>
      </c>
      <c r="H9" s="5" t="inlineStr">
        <is>
          <t>- Environnements dev, recette et production déployables par scripts (Compose, Ansible)
- Redémarrage progressif de l'API avec contrôles de santé, sans coupure
- Image worker dédiée distincte de l'API</t>
        </is>
      </c>
      <c r="I9" s="5" t="inlineStr">
        <is>
          <t>EX-NFR-02</t>
        </is>
      </c>
      <c r="J9" s="5" t="inlineStr">
        <is>
          <t>§1.8, §5.5</t>
        </is>
      </c>
      <c r="K9" s="5" t="inlineStr">
        <is>
          <t>DEVOPS</t>
        </is>
      </c>
      <c r="L9" s="5" t="inlineStr">
        <is>
          <t>Must</t>
        </is>
      </c>
      <c r="M9" s="5" t="n">
        <v>8</v>
      </c>
      <c r="N9" s="5" t="inlineStr">
        <is>
          <t>L0-07</t>
        </is>
      </c>
      <c r="O9" s="5" t="inlineStr">
        <is>
          <t>Terminé</t>
        </is>
      </c>
      <c r="P9" s="5" t="inlineStr"/>
    </row>
    <row r="10">
      <c r="A10" s="5" t="inlineStr">
        <is>
          <t>L0-09</t>
        </is>
      </c>
      <c r="B10" s="5" t="inlineStr">
        <is>
          <t>L0</t>
        </is>
      </c>
      <c r="C10" s="5" t="inlineStr">
        <is>
          <t>E0.2</t>
        </is>
      </c>
      <c r="D10" s="5" t="inlineStr">
        <is>
          <t>Infrastructure sur site</t>
        </is>
      </c>
      <c r="E10" s="5" t="inlineStr">
        <is>
          <t>Tâche technique</t>
        </is>
      </c>
      <c r="F10" s="5" t="inlineStr">
        <is>
          <t>Observabilité de base</t>
        </is>
      </c>
      <c r="G10" s="5" t="inlineStr">
        <is>
          <t>Logs pino avec requestId, traces OpenTelemetry, Prometheus et Grafana, alertes.</t>
        </is>
      </c>
      <c r="H10" s="5" t="inlineStr">
        <is>
          <t>- Chaque requête porte un requestId présent dans les logs
- Une trace relie API, base et worker
- Alertes Grafana sur file d'échecs non vide et 5xx
- Les journaux techniques sont séparés de l'audit métier</t>
        </is>
      </c>
      <c r="I10" s="5" t="inlineStr">
        <is>
          <t>EX-NFR-05</t>
        </is>
      </c>
      <c r="J10" s="5" t="inlineStr">
        <is>
          <t>§5.4</t>
        </is>
      </c>
      <c r="K10" s="5" t="inlineStr">
        <is>
          <t>DEVOPS</t>
        </is>
      </c>
      <c r="L10" s="5" t="inlineStr">
        <is>
          <t>Should</t>
        </is>
      </c>
      <c r="M10" s="5" t="n">
        <v>5</v>
      </c>
      <c r="N10" s="5" t="inlineStr">
        <is>
          <t>L0-08</t>
        </is>
      </c>
      <c r="O10" s="5" t="inlineStr">
        <is>
          <t>Terminé</t>
        </is>
      </c>
      <c r="P10" s="5" t="inlineStr"/>
    </row>
    <row r="11">
      <c r="A11" s="5" t="inlineStr">
        <is>
          <t>L0-10</t>
        </is>
      </c>
      <c r="B11" s="5" t="inlineStr">
        <is>
          <t>L0</t>
        </is>
      </c>
      <c r="C11" s="5" t="inlineStr">
        <is>
          <t>E0.3</t>
        </is>
      </c>
      <c r="D11" s="5" t="inlineStr">
        <is>
          <t>Authentification &amp; comptes</t>
        </is>
      </c>
      <c r="E11" s="5" t="inlineStr">
        <is>
          <t>Story</t>
        </is>
      </c>
      <c r="F11" s="5" t="inlineStr">
        <is>
          <t>Connexion, refresh et déconnexion</t>
        </is>
      </c>
      <c r="G11" s="5" t="inlineStr">
        <is>
          <t>POST /auth/login, /auth/refresh, /auth/logout avec argon2id, JWT 15 min, refresh opaque rotatif 7 jours, lecture des paramètres de sécurité.</t>
        </is>
      </c>
      <c r="H11" s="5" t="inlineStr">
        <is>
          <t>- Mots de passe hachés argon2id, longueur minimale issue des paramètres de sécurité (défaut 12)
- Le refresh token tourne à chaque usage
- La réutilisation d'un jeton révoqué révoque toute la famille
- Le refresh est en cookie httpOnly, Secure, SameSite=Strict</t>
        </is>
      </c>
      <c r="I11" s="5" t="inlineStr">
        <is>
          <t>EX-SEC-01</t>
        </is>
      </c>
      <c r="J11" s="5" t="inlineStr">
        <is>
          <t>§5.1, §3.4.1</t>
        </is>
      </c>
      <c r="K11" s="5" t="inlineStr">
        <is>
          <t>BACK</t>
        </is>
      </c>
      <c r="L11" s="5" t="inlineStr">
        <is>
          <t>Must</t>
        </is>
      </c>
      <c r="M11" s="5" t="n">
        <v>8</v>
      </c>
      <c r="N11" s="5" t="inlineStr">
        <is>
          <t>L0-04</t>
        </is>
      </c>
      <c r="O11" s="5" t="inlineStr">
        <is>
          <t>Terminé</t>
        </is>
      </c>
      <c r="P11" s="5" t="inlineStr"/>
    </row>
    <row r="12">
      <c r="A12" s="5" t="inlineStr">
        <is>
          <t>L0-11</t>
        </is>
      </c>
      <c r="B12" s="5" t="inlineStr">
        <is>
          <t>L0</t>
        </is>
      </c>
      <c r="C12" s="5" t="inlineStr">
        <is>
          <t>E0.3</t>
        </is>
      </c>
      <c r="D12" s="5" t="inlineStr">
        <is>
          <t>Authentification &amp; comptes</t>
        </is>
      </c>
      <c r="E12" s="5" t="inlineStr">
        <is>
          <t>Story</t>
        </is>
      </c>
      <c r="F12" s="5" t="inlineStr">
        <is>
          <t>Verrouillage de compte et anti-énumération</t>
        </is>
      </c>
      <c r="G12" s="5" t="inlineStr">
        <is>
          <t>Verrouillage après le nombre d'échecs configuré, pour la durée configurée.</t>
        </is>
      </c>
      <c r="H12" s="5" t="inlineStr">
        <is>
          <t>- Au dépassement du seuil (défaut 5), 401 ACCOUNT_LOCKED avec retryAfter
- Le délai de réponse est identique que le compte existe ou non
- Le message d'erreur est générique</t>
        </is>
      </c>
      <c r="I12" s="5" t="inlineStr">
        <is>
          <t>EX-SEC-05</t>
        </is>
      </c>
      <c r="J12" s="5" t="inlineStr">
        <is>
          <t>§5.1</t>
        </is>
      </c>
      <c r="K12" s="5" t="inlineStr">
        <is>
          <t>BACK</t>
        </is>
      </c>
      <c r="L12" s="5" t="inlineStr">
        <is>
          <t>Must</t>
        </is>
      </c>
      <c r="M12" s="5" t="n">
        <v>3</v>
      </c>
      <c r="N12" s="5" t="inlineStr">
        <is>
          <t>L0-10</t>
        </is>
      </c>
      <c r="O12" s="5" t="inlineStr">
        <is>
          <t>Terminé</t>
        </is>
      </c>
      <c r="P12" s="5" t="inlineStr"/>
    </row>
    <row r="13">
      <c r="A13" s="5" t="inlineStr">
        <is>
          <t>L0-12</t>
        </is>
      </c>
      <c r="B13" s="5" t="inlineStr">
        <is>
          <t>L0</t>
        </is>
      </c>
      <c r="C13" s="5" t="inlineStr">
        <is>
          <t>E0.3</t>
        </is>
      </c>
      <c r="D13" s="5" t="inlineStr">
        <is>
          <t>Authentification &amp; comptes</t>
        </is>
      </c>
      <c r="E13" s="5" t="inlineStr">
        <is>
          <t>Story</t>
        </is>
      </c>
      <c r="F13" s="5" t="inlineStr">
        <is>
          <t>MFA TOTP</t>
        </is>
      </c>
      <c r="G13" s="5" t="inlineStr">
        <is>
          <t>Enrôlement et vérification TOTP, activable par rôle.</t>
        </is>
      </c>
      <c r="H13" s="5" t="inlineStr">
        <is>
          <t>- Un rôle listé dans mfaRoles ne peut pas finaliser sa connexion sans MFA (défaut : Administrateur)
- Le code TOTP est vérifié à la connexion
- MFA facultative pour les autres rôles, activable par l'Administrateur</t>
        </is>
      </c>
      <c r="I13" s="5" t="inlineStr">
        <is>
          <t>EX-SEC-06</t>
        </is>
      </c>
      <c r="J13" s="5" t="inlineStr">
        <is>
          <t>§5.1</t>
        </is>
      </c>
      <c r="K13" s="5" t="inlineStr">
        <is>
          <t>BACK</t>
        </is>
      </c>
      <c r="L13" s="5" t="inlineStr">
        <is>
          <t>Must</t>
        </is>
      </c>
      <c r="M13" s="5" t="n">
        <v>5</v>
      </c>
      <c r="N13" s="5" t="inlineStr">
        <is>
          <t>L0-10</t>
        </is>
      </c>
      <c r="O13" s="5" t="inlineStr">
        <is>
          <t>Terminé</t>
        </is>
      </c>
      <c r="P13" s="5" t="inlineStr"/>
    </row>
    <row r="14">
      <c r="A14" s="5" t="inlineStr">
        <is>
          <t>L0-13</t>
        </is>
      </c>
      <c r="B14" s="5" t="inlineStr">
        <is>
          <t>L0</t>
        </is>
      </c>
      <c r="C14" s="5" t="inlineStr">
        <is>
          <t>E0.3</t>
        </is>
      </c>
      <c r="D14" s="5" t="inlineStr">
        <is>
          <t>Authentification &amp; comptes</t>
        </is>
      </c>
      <c r="E14" s="5" t="inlineStr">
        <is>
          <t>Story</t>
        </is>
      </c>
      <c r="F14" s="5" t="inlineStr">
        <is>
          <t>Paramètres de sécurité configurables</t>
        </is>
      </c>
      <c r="G14" s="5" t="inlineStr">
        <is>
          <t>Modèle ParametreSecurite (ligne unique) et API GET/PATCH /parametres/securite.</t>
        </is>
      </c>
      <c r="H14" s="5" t="inlineStr">
        <is>
          <t>- Longueur minimale, composition, expiration, historique, verrouillage, inactivité, MFA par rôle et conservation des journaux sont modifiables par l'Administrateur
- Longueur minimale inférieure à 8 refusée (422)
- Chaque modification écrit un audit (ancienne et nouvelle valeur)
- Valeurs par défaut conformes à ST §5.1</t>
        </is>
      </c>
      <c r="I14" s="5" t="inlineStr">
        <is>
          <t>EX-SEC-04</t>
        </is>
      </c>
      <c r="J14" s="5" t="inlineStr">
        <is>
          <t>§5.1, §3.4.21, §2.2</t>
        </is>
      </c>
      <c r="K14" s="5" t="inlineStr">
        <is>
          <t>BACK</t>
        </is>
      </c>
      <c r="L14" s="5" t="inlineStr">
        <is>
          <t>Must</t>
        </is>
      </c>
      <c r="M14" s="5" t="n">
        <v>5</v>
      </c>
      <c r="N14" s="5" t="inlineStr">
        <is>
          <t>L0-10, L0-23</t>
        </is>
      </c>
      <c r="O14" s="5" t="inlineStr">
        <is>
          <t>À faire</t>
        </is>
      </c>
      <c r="P14" s="5" t="inlineStr"/>
    </row>
    <row r="15">
      <c r="A15" s="5" t="inlineStr">
        <is>
          <t>L0-14</t>
        </is>
      </c>
      <c r="B15" s="5" t="inlineStr">
        <is>
          <t>L0</t>
        </is>
      </c>
      <c r="C15" s="5" t="inlineStr">
        <is>
          <t>E0.3</t>
        </is>
      </c>
      <c r="D15" s="5" t="inlineStr">
        <is>
          <t>Authentification &amp; comptes</t>
        </is>
      </c>
      <c r="E15" s="5" t="inlineStr">
        <is>
          <t>Story</t>
        </is>
      </c>
      <c r="F15" s="5" t="inlineStr">
        <is>
          <t>Déconnexion après inactivité</t>
        </is>
      </c>
      <c r="G15" s="5" t="inlineStr">
        <is>
          <t>Suivi de lastActivityAt, refus du refresh au-delà du délai configuré.</t>
        </is>
      </c>
      <c r="H15" s="5" t="inlineStr">
        <is>
          <t>- Le refresh est refusé (401 SESSION_INACTIVE) au-delà du délai d'inactivité
- Les requêtes automatiques (heartbeat, SSE) ne comptent pas comme une activité
- L'interface déconnecte à l'expiration du délai</t>
        </is>
      </c>
      <c r="I15" s="5" t="inlineStr">
        <is>
          <t>EX-SEC-07</t>
        </is>
      </c>
      <c r="J15" s="5" t="inlineStr">
        <is>
          <t>§5.1</t>
        </is>
      </c>
      <c r="K15" s="5" t="inlineStr">
        <is>
          <t>FULL</t>
        </is>
      </c>
      <c r="L15" s="5" t="inlineStr">
        <is>
          <t>Must</t>
        </is>
      </c>
      <c r="M15" s="5" t="n">
        <v>3</v>
      </c>
      <c r="N15" s="5" t="inlineStr">
        <is>
          <t>L0-13</t>
        </is>
      </c>
      <c r="O15" s="5" t="inlineStr">
        <is>
          <t>À faire</t>
        </is>
      </c>
      <c r="P15" s="5" t="inlineStr"/>
    </row>
    <row r="16">
      <c r="A16" s="5" t="inlineStr">
        <is>
          <t>L0-15</t>
        </is>
      </c>
      <c r="B16" s="5" t="inlineStr">
        <is>
          <t>L0</t>
        </is>
      </c>
      <c r="C16" s="5" t="inlineStr">
        <is>
          <t>E0.3</t>
        </is>
      </c>
      <c r="D16" s="5" t="inlineStr">
        <is>
          <t>Authentification &amp; comptes</t>
        </is>
      </c>
      <c r="E16" s="5" t="inlineStr">
        <is>
          <t>Story</t>
        </is>
      </c>
      <c r="F16" s="5" t="inlineStr">
        <is>
          <t>Gestion des comptes et des rôles</t>
        </is>
      </c>
      <c r="G16" s="5" t="inlineStr">
        <is>
          <t>CRUD utilisateurs, PUT /users/{id}/roles avec portée par département, désactivation logique et réactivation.</t>
        </is>
      </c>
      <c r="H16" s="5" t="inlineStr">
        <is>
          <t>- Seul l'Administrateur gère les comptes
- Les quatre rôles existent (Administrateur, Gestionnaire, Responsable de département, Direction)
- Un rôle Responsable exige un departementCode
- La désactivation révoque immédiatement les refresh tokens et conserve l'identité dans l'audit
- Aucune suppression physique d'un compte</t>
        </is>
      </c>
      <c r="I16" s="5" t="inlineStr">
        <is>
          <t>EX-SEC-02, EX-ROL-01</t>
        </is>
      </c>
      <c r="J16" s="5" t="inlineStr">
        <is>
          <t>§3.3, §5.2</t>
        </is>
      </c>
      <c r="K16" s="5" t="inlineStr">
        <is>
          <t>BACK</t>
        </is>
      </c>
      <c r="L16" s="5" t="inlineStr">
        <is>
          <t>Must</t>
        </is>
      </c>
      <c r="M16" s="5" t="n">
        <v>5</v>
      </c>
      <c r="N16" s="5" t="inlineStr">
        <is>
          <t>L0-10, L0-19</t>
        </is>
      </c>
      <c r="O16" s="5" t="inlineStr">
        <is>
          <t>Terminé</t>
        </is>
      </c>
      <c r="P16" s="5" t="inlineStr"/>
    </row>
    <row r="17">
      <c r="A17" s="5" t="inlineStr">
        <is>
          <t>L0-16</t>
        </is>
      </c>
      <c r="B17" s="5" t="inlineStr">
        <is>
          <t>L0</t>
        </is>
      </c>
      <c r="C17" s="5" t="inlineStr">
        <is>
          <t>E0.3</t>
        </is>
      </c>
      <c r="D17" s="5" t="inlineStr">
        <is>
          <t>Authentification &amp; comptes</t>
        </is>
      </c>
      <c r="E17" s="5" t="inlineStr">
        <is>
          <t>Story</t>
        </is>
      </c>
      <c r="F17" s="5" t="inlineStr">
        <is>
          <t>Réinitialisation du mot de passe par l'Administrateur</t>
        </is>
      </c>
      <c r="G17" s="5" t="inlineStr">
        <is>
          <t>POST /users/{id}/reset-password, lien à usage unique, POST /auth/reset/confirm, POST /auth/password pour le changement personnel, politique et historique.</t>
        </is>
      </c>
      <c r="H17" s="5" t="inlineStr">
        <is>
          <t>- Seul l'Administrateur déclenche une réinitialisation ; le lien est envoyé par e-mail à l'adresse du compte
- Le lien ne fonctionne qu'une fois et expire après la durée configurée
- L'Administrateur ne voit jamais un mot de passe
- Le nouveau mot de passe respecte la politique et l'historique (422 PASSWORD_POLICY)
- Déclenchement et usage journalisés dans le journal de sécurité</t>
        </is>
      </c>
      <c r="I17" s="5" t="inlineStr">
        <is>
          <t>EX-SEC-03</t>
        </is>
      </c>
      <c r="J17" s="5" t="inlineStr">
        <is>
          <t>§5.1, §3.4.21</t>
        </is>
      </c>
      <c r="K17" s="5" t="inlineStr">
        <is>
          <t>BACK</t>
        </is>
      </c>
      <c r="L17" s="5" t="inlineStr">
        <is>
          <t>Must</t>
        </is>
      </c>
      <c r="M17" s="5" t="n">
        <v>5</v>
      </c>
      <c r="N17" s="5" t="inlineStr">
        <is>
          <t>L0-13, L0-15, L0-18</t>
        </is>
      </c>
      <c r="O17" s="5" t="inlineStr">
        <is>
          <t>Terminé</t>
        </is>
      </c>
      <c r="P17" s="5" t="inlineStr"/>
    </row>
    <row r="18">
      <c r="A18" s="5" t="inlineStr">
        <is>
          <t>L0-17</t>
        </is>
      </c>
      <c r="B18" s="5" t="inlineStr">
        <is>
          <t>L0</t>
        </is>
      </c>
      <c r="C18" s="5" t="inlineStr">
        <is>
          <t>E0.3</t>
        </is>
      </c>
      <c r="D18" s="5" t="inlineStr">
        <is>
          <t>Authentification &amp; comptes</t>
        </is>
      </c>
      <c r="E18" s="5" t="inlineStr">
        <is>
          <t>Tâche technique</t>
        </is>
      </c>
      <c r="F18" s="5" t="inlineStr">
        <is>
          <t>Interface AuthProvider</t>
        </is>
      </c>
      <c r="G18" s="5" t="inlineStr">
        <is>
          <t>Abstraction permettant un futur SSO (OIDC, LDAP/AD) sans toucher au RBAC.</t>
        </is>
      </c>
      <c r="H18" s="5" t="inlineStr">
        <is>
          <t>- L'authentification locale passe par l'interface AuthProvider
- Le RBAC est indépendant du fournisseur</t>
        </is>
      </c>
      <c r="I18" s="5" t="inlineStr">
        <is>
          <t>EX-SEC-01</t>
        </is>
      </c>
      <c r="J18" s="5" t="inlineStr">
        <is>
          <t>§5.1</t>
        </is>
      </c>
      <c r="K18" s="5" t="inlineStr">
        <is>
          <t>BACK</t>
        </is>
      </c>
      <c r="L18" s="5" t="inlineStr">
        <is>
          <t>Could</t>
        </is>
      </c>
      <c r="M18" s="5" t="n">
        <v>2</v>
      </c>
      <c r="N18" s="5" t="inlineStr">
        <is>
          <t>L0-10</t>
        </is>
      </c>
      <c r="O18" s="5" t="inlineStr">
        <is>
          <t>Terminé</t>
        </is>
      </c>
      <c r="P18" s="5" t="inlineStr"/>
    </row>
    <row r="19">
      <c r="A19" s="5" t="inlineStr">
        <is>
          <t>L0-18</t>
        </is>
      </c>
      <c r="B19" s="5" t="inlineStr">
        <is>
          <t>L0</t>
        </is>
      </c>
      <c r="C19" s="5" t="inlineStr">
        <is>
          <t>E0.3</t>
        </is>
      </c>
      <c r="D19" s="5" t="inlineStr">
        <is>
          <t>Authentification &amp; comptes</t>
        </is>
      </c>
      <c r="E19" s="5" t="inlineStr">
        <is>
          <t>Story</t>
        </is>
      </c>
      <c r="F19" s="5" t="inlineStr">
        <is>
          <t>Journal de sécurité</t>
        </is>
      </c>
      <c r="G19" s="5" t="inlineStr">
        <is>
          <t>Table SecurityEvent distincte de l'audit, écriture des connexions, verrouillages, réutilisation de jeton, usage de lien, MFA, accès aux exports ; consultation Administrateur.</t>
        </is>
      </c>
      <c r="H19" s="5" t="inlineStr">
        <is>
          <t>- Connexions réussies et échouées, verrouillages et réutilisations de jeton sont enregistrés
- GET /security-events réservé à l'Administrateur avec filtres et pagination par curseur
- Aucune connexion n'est écrite dans l'audit métier
- Aucun mot de passe ni jeton en clair dans le journal</t>
        </is>
      </c>
      <c r="I19" s="5" t="inlineStr">
        <is>
          <t>EX-SEC-09</t>
        </is>
      </c>
      <c r="J19" s="5" t="inlineStr">
        <is>
          <t>§5.3, §2.2, §2.4</t>
        </is>
      </c>
      <c r="K19" s="5" t="inlineStr">
        <is>
          <t>BACK</t>
        </is>
      </c>
      <c r="L19" s="5" t="inlineStr">
        <is>
          <t>Must</t>
        </is>
      </c>
      <c r="M19" s="5" t="n">
        <v>5</v>
      </c>
      <c r="N19" s="5" t="inlineStr">
        <is>
          <t>L0-10, L0-04</t>
        </is>
      </c>
      <c r="O19" s="5" t="inlineStr">
        <is>
          <t>Terminé</t>
        </is>
      </c>
      <c r="P19" s="5" t="inlineStr"/>
    </row>
    <row r="20">
      <c r="A20" s="5" t="inlineStr">
        <is>
          <t>L0-19</t>
        </is>
      </c>
      <c r="B20" s="5" t="inlineStr">
        <is>
          <t>L0</t>
        </is>
      </c>
      <c r="C20" s="5" t="inlineStr">
        <is>
          <t>E0.4</t>
        </is>
      </c>
      <c r="D20" s="5" t="inlineStr">
        <is>
          <t>RBAC avec portée</t>
        </is>
      </c>
      <c r="E20" s="5" t="inlineStr">
        <is>
          <t>Story</t>
        </is>
      </c>
      <c r="F20" s="5" t="inlineStr">
        <is>
          <t>Module policy RBAC avec portée</t>
        </is>
      </c>
      <c r="G20" s="5" t="inlineStr">
        <is>
          <t>Permissions ressource:action, CASL, ScopeGuard par département, quatre rôles.</t>
        </is>
      </c>
      <c r="H20" s="5" t="inlineStr">
        <is>
          <t>- Toute route sans décorateur de permission est refusée
- Un objet hors portée renvoie 404
- L'ImmutabilityGuard s'applique aussi à l'Administrateur
- Le Gestionnaire ne modifie pas la répartition ; la Direction n'a aucun droit d'écriture</t>
        </is>
      </c>
      <c r="I20" s="5" t="inlineStr">
        <is>
          <t>EX-SEC-08, EX-ROL-03, EX-ROL-05, EX-PRI-05</t>
        </is>
      </c>
      <c r="J20" s="5" t="inlineStr">
        <is>
          <t>§5.2</t>
        </is>
      </c>
      <c r="K20" s="5" t="inlineStr">
        <is>
          <t>BACK</t>
        </is>
      </c>
      <c r="L20" s="5" t="inlineStr">
        <is>
          <t>Must</t>
        </is>
      </c>
      <c r="M20" s="5" t="n">
        <v>8</v>
      </c>
      <c r="N20" s="5" t="inlineStr">
        <is>
          <t>L0-10</t>
        </is>
      </c>
      <c r="O20" s="5" t="inlineStr">
        <is>
          <t>Terminé</t>
        </is>
      </c>
      <c r="P20" s="5" t="inlineStr"/>
    </row>
    <row r="21">
      <c r="A21" s="5" t="inlineStr">
        <is>
          <t>L0-20</t>
        </is>
      </c>
      <c r="B21" s="5" t="inlineStr">
        <is>
          <t>L0</t>
        </is>
      </c>
      <c r="C21" s="5" t="inlineStr">
        <is>
          <t>E0.4</t>
        </is>
      </c>
      <c r="D21" s="5" t="inlineStr">
        <is>
          <t>RBAC avec portée</t>
        </is>
      </c>
      <c r="E21" s="5" t="inlineStr">
        <is>
          <t>Test</t>
        </is>
      </c>
      <c r="F21" s="5" t="inlineStr">
        <is>
          <t>Matrice RBAC automatisée</t>
        </is>
      </c>
      <c r="G21" s="5" t="inlineStr">
        <is>
          <t>Test rôle × endpoint déduit de la matrice des permissions (4 rôles).</t>
        </is>
      </c>
      <c r="H21" s="5" t="inlineStr">
        <is>
          <t>- Un test parcourt le routeur et échoue si une route n'est pas déclarée
- Chaque cellule de la matrice (ST §5.2) est vérifiée
- Les cas négatifs (Responsable hors département, Direction en écriture) sont couverts</t>
        </is>
      </c>
      <c r="I21" s="5" t="inlineStr">
        <is>
          <t>EX-SEC-08, EX-ROL-04</t>
        </is>
      </c>
      <c r="J21" s="5" t="inlineStr">
        <is>
          <t>§5.2, §5.5</t>
        </is>
      </c>
      <c r="K21" s="5" t="inlineStr">
        <is>
          <t>QA</t>
        </is>
      </c>
      <c r="L21" s="5" t="inlineStr">
        <is>
          <t>Must</t>
        </is>
      </c>
      <c r="M21" s="5" t="n">
        <v>5</v>
      </c>
      <c r="N21" s="5" t="inlineStr">
        <is>
          <t>L0-19</t>
        </is>
      </c>
      <c r="O21" s="5" t="inlineStr">
        <is>
          <t>Terminé</t>
        </is>
      </c>
      <c r="P21" s="5" t="inlineStr"/>
    </row>
    <row r="22">
      <c r="A22" s="5" t="inlineStr">
        <is>
          <t>L0-21</t>
        </is>
      </c>
      <c r="B22" s="5" t="inlineStr">
        <is>
          <t>L0</t>
        </is>
      </c>
      <c r="C22" s="5" t="inlineStr">
        <is>
          <t>E0.4</t>
        </is>
      </c>
      <c r="D22" s="5" t="inlineStr">
        <is>
          <t>RBAC avec portée</t>
        </is>
      </c>
      <c r="E22" s="5" t="inlineStr">
        <is>
          <t>Story</t>
        </is>
      </c>
      <c r="F22" s="5" t="inlineStr">
        <is>
          <t>Permissions ressource:action sur les contrôleurs génériques (projects, tasks, sprints, comments, activities)</t>
        </is>
      </c>
      <c r="G22" s="5" t="inlineStr">
        <is>
          <t>Déclarer @Permissions(...) sur chaque méthode publique des contrôleurs génériques (projects, tasks, sprints, comments, activities) et définir les permissions ressource:action associées dans PolicyService (matrice ST §5.2), afin qu'elles soient couvertes par le test de matrice L0-16.</t>
        </is>
      </c>
      <c r="H22" s="5" t="inlineStr">
        <is>
          <t>- Chaque méthode publique des 6 contrôleurs déclare @Permissions(...) (ou @Public si pertinent)
- Les nouvelles permissions sont ajoutées à PolicyService pour les 4 rôles
- Le test rbac-router.spec.ts (L0-16) les inclut et passe
- Cas négatifs : Direction en écriture refusé, défaut = refus</t>
        </is>
      </c>
      <c r="I22" s="5" t="inlineStr">
        <is>
          <t>EX-SEC-08, EX-ROL-04</t>
        </is>
      </c>
      <c r="J22" s="5" t="inlineStr">
        <is>
          <t>§5.2, §5.5</t>
        </is>
      </c>
      <c r="K22" s="5" t="inlineStr">
        <is>
          <t>BACK</t>
        </is>
      </c>
      <c r="L22" s="5" t="inlineStr">
        <is>
          <t>Must</t>
        </is>
      </c>
      <c r="M22" s="5" t="n">
        <v>5</v>
      </c>
      <c r="N22" s="5" t="inlineStr">
        <is>
          <t>L0-20</t>
        </is>
      </c>
      <c r="O22" s="5" t="inlineStr">
        <is>
          <t>Terminé</t>
        </is>
      </c>
      <c r="P22" s="5" t="inlineStr"/>
    </row>
    <row r="23">
      <c r="A23" s="5" t="inlineStr">
        <is>
          <t>L0-22</t>
        </is>
      </c>
      <c r="B23" s="5" t="inlineStr">
        <is>
          <t>L0</t>
        </is>
      </c>
      <c r="C23" s="5" t="inlineStr">
        <is>
          <t>E0.4</t>
        </is>
      </c>
      <c r="D23" s="5" t="inlineStr">
        <is>
          <t>RBAC avec portée</t>
        </is>
      </c>
      <c r="E23" s="5" t="inlineStr">
        <is>
          <t>Story</t>
        </is>
      </c>
      <c r="F23" s="5" t="inlineStr">
        <is>
          <t>Droits étendus de l'Administrateur et séparation des tâches</t>
        </is>
      </c>
      <c r="G23" s="5" t="inlineStr">
        <is>
          <t>L'Administrateur détient l'union des droits du Gestionnaire, écrit la répartition de tout département et valide par département ; garde de séparation des tâches.</t>
        </is>
      </c>
      <c r="H23" s="5" t="inlineStr">
        <is>
          <t>- L'Administrateur accède à toutes les routes du Gestionnaire
- Il peut écrire et valider la répartition d'un département en le nommant
- Une personne ne peut pas valider un cycle qu'elle a soumis (403 SEGREGATION_OF_DUTIES)
- Tests de non-régression sur la matrice</t>
        </is>
      </c>
      <c r="I23" s="5" t="inlineStr">
        <is>
          <t>EX-ROL-02, EX-ROL-06</t>
        </is>
      </c>
      <c r="J23" s="5" t="inlineStr">
        <is>
          <t>§5.2, §4.1.1</t>
        </is>
      </c>
      <c r="K23" s="5" t="inlineStr">
        <is>
          <t>BACK</t>
        </is>
      </c>
      <c r="L23" s="5" t="inlineStr">
        <is>
          <t>Must</t>
        </is>
      </c>
      <c r="M23" s="5" t="n">
        <v>3</v>
      </c>
      <c r="N23" s="5" t="inlineStr">
        <is>
          <t>L0-19</t>
        </is>
      </c>
      <c r="O23" s="5" t="inlineStr">
        <is>
          <t>Terminé</t>
        </is>
      </c>
      <c r="P23" s="5" t="inlineStr"/>
    </row>
    <row r="24">
      <c r="A24" s="5" t="inlineStr">
        <is>
          <t>L0-23</t>
        </is>
      </c>
      <c r="B24" s="5" t="inlineStr">
        <is>
          <t>L0</t>
        </is>
      </c>
      <c r="C24" s="5" t="inlineStr">
        <is>
          <t>E0.5</t>
        </is>
      </c>
      <c r="D24" s="5" t="inlineStr">
        <is>
          <t>Audit append-only</t>
        </is>
      </c>
      <c r="E24" s="5" t="inlineStr">
        <is>
          <t>Story</t>
        </is>
      </c>
      <c r="F24" s="5" t="inlineStr">
        <is>
          <t>AuditService append-only</t>
        </is>
      </c>
      <c r="G24" s="5" t="inlineStr">
        <is>
          <t>Écriture de l'audit dans la même transaction que l'écriture métier.</t>
        </is>
      </c>
      <c r="H24" s="5" t="inlineStr">
        <is>
          <t>- Une action métier et son audit sont atomiques
- UPDATE et DELETE sur AuditLog sont refusés (trigger et REVOKE)
- L'audit contient ancienne et nouvelle valeur</t>
        </is>
      </c>
      <c r="I24" s="5" t="inlineStr">
        <is>
          <t>EX-AUD-01</t>
        </is>
      </c>
      <c r="J24" s="5" t="inlineStr">
        <is>
          <t>§2.4, §0.5</t>
        </is>
      </c>
      <c r="K24" s="5" t="inlineStr">
        <is>
          <t>BACK</t>
        </is>
      </c>
      <c r="L24" s="5" t="inlineStr">
        <is>
          <t>Must</t>
        </is>
      </c>
      <c r="M24" s="5" t="n">
        <v>5</v>
      </c>
      <c r="N24" s="5" t="inlineStr">
        <is>
          <t>L0-04</t>
        </is>
      </c>
      <c r="O24" s="5" t="inlineStr">
        <is>
          <t>Terminé</t>
        </is>
      </c>
      <c r="P24" s="5" t="inlineStr"/>
    </row>
    <row r="25">
      <c r="A25" s="5" t="inlineStr">
        <is>
          <t>L0-24</t>
        </is>
      </c>
      <c r="B25" s="5" t="inlineStr">
        <is>
          <t>L0</t>
        </is>
      </c>
      <c r="C25" s="5" t="inlineStr">
        <is>
          <t>E0.5</t>
        </is>
      </c>
      <c r="D25" s="5" t="inlineStr">
        <is>
          <t>Audit append-only</t>
        </is>
      </c>
      <c r="E25" s="5" t="inlineStr">
        <is>
          <t>Story</t>
        </is>
      </c>
      <c r="F25" s="5" t="inlineStr">
        <is>
          <t>Consultation de l'audit</t>
        </is>
      </c>
      <c r="G25" s="5" t="inlineStr">
        <is>
          <t>GET /audit avec filtres, complet pour l'Administrateur, limité pour Gestionnaire et Responsable, consultation pour la Direction.</t>
        </is>
      </c>
      <c r="H25" s="5" t="inlineStr">
        <is>
          <t>- Filtres objetType, objetId, userId, from, to opérationnels
- Gestionnaire et Responsable ne voient que leurs actions et leur périmètre
- La Direction consulte l'audit métier en lecture seule
- Pagination par curseur</t>
        </is>
      </c>
      <c r="I25" s="5" t="inlineStr">
        <is>
          <t>EX-AUD-01, EX-ROL-04</t>
        </is>
      </c>
      <c r="J25" s="5" t="inlineStr">
        <is>
          <t>§3.3, §5.3</t>
        </is>
      </c>
      <c r="K25" s="5" t="inlineStr">
        <is>
          <t>BACK</t>
        </is>
      </c>
      <c r="L25" s="5" t="inlineStr">
        <is>
          <t>Should</t>
        </is>
      </c>
      <c r="M25" s="5" t="n">
        <v>3</v>
      </c>
      <c r="N25" s="5" t="inlineStr">
        <is>
          <t>L0-23, L0-19</t>
        </is>
      </c>
      <c r="O25" s="5" t="inlineStr">
        <is>
          <t>Terminé</t>
        </is>
      </c>
      <c r="P25" s="5" t="inlineStr"/>
    </row>
    <row r="26">
      <c r="A26" s="5" t="inlineStr">
        <is>
          <t>L0-25</t>
        </is>
      </c>
      <c r="B26" s="5" t="inlineStr">
        <is>
          <t>L0</t>
        </is>
      </c>
      <c r="C26" s="5" t="inlineStr">
        <is>
          <t>E0.5</t>
        </is>
      </c>
      <c r="D26" s="5" t="inlineStr">
        <is>
          <t>Audit append-only</t>
        </is>
      </c>
      <c r="E26" s="5" t="inlineStr">
        <is>
          <t>Story</t>
        </is>
      </c>
      <c r="F26" s="5" t="inlineStr">
        <is>
          <t>Conservation et purge des journaux</t>
        </is>
      </c>
      <c r="G26" s="5" t="inlineStr">
        <is>
          <t>Fonction purge_journaux (rôle audit_purge), durées configurables, purge tracée.</t>
        </is>
      </c>
      <c r="H26" s="5" t="inlineStr">
        <is>
          <t>- La durée de conservation de l'audit et du journal de sécurité est configurable (défauts : audit sans purge, sécurité 12 mois)
- La purge passe uniquement par la fonction dédiée et écrit un audit de purge
- app_rw ne peut ni supprimer ni modifier les journaux</t>
        </is>
      </c>
      <c r="I26" s="5" t="inlineStr">
        <is>
          <t>EX-AUD-02</t>
        </is>
      </c>
      <c r="J26" s="5" t="inlineStr">
        <is>
          <t>§2.4, §5.3</t>
        </is>
      </c>
      <c r="K26" s="5" t="inlineStr">
        <is>
          <t>BACK</t>
        </is>
      </c>
      <c r="L26" s="5" t="inlineStr">
        <is>
          <t>Should</t>
        </is>
      </c>
      <c r="M26" s="5" t="n">
        <v>3</v>
      </c>
      <c r="N26" s="5" t="inlineStr">
        <is>
          <t>L0-13, L0-23</t>
        </is>
      </c>
      <c r="O26" s="5" t="inlineStr">
        <is>
          <t>Terminé</t>
        </is>
      </c>
      <c r="P26" s="5" t="inlineStr"/>
    </row>
    <row r="27">
      <c r="A27" s="5" t="inlineStr">
        <is>
          <t>L0-26</t>
        </is>
      </c>
      <c r="B27" s="5" t="inlineStr">
        <is>
          <t>L0</t>
        </is>
      </c>
      <c r="C27" s="5" t="inlineStr">
        <is>
          <t>E0.6</t>
        </is>
      </c>
      <c r="D27" s="5" t="inlineStr">
        <is>
          <t>Socle API</t>
        </is>
      </c>
      <c r="E27" s="5" t="inlineStr">
        <is>
          <t>Tâche technique</t>
        </is>
      </c>
      <c r="F27" s="5" t="inlineStr">
        <is>
          <t>Erreurs RFC 9457 et catalogue de codes</t>
        </is>
      </c>
      <c r="G27" s="5" t="inlineStr">
        <is>
          <t>Format problem+json, codes métier, traduction SQLSTATE P0001 et 23505.</t>
        </is>
      </c>
      <c r="H27" s="5" t="inlineStr">
        <is>
          <t>- Toutes les erreurs suivent le format ST §3.2
- IMMUTABLE_VERSION, YEAR_CLOSED, APPEND_ONLY_TABLE, CHARGE_RULESET_PUBLISHED, CONFIG_IN_USE et 23505 sont traduits en 409 ou 423
- requestId présent dans chaque erreur</t>
        </is>
      </c>
      <c r="I27" s="5" t="inlineStr">
        <is>
          <t>—</t>
        </is>
      </c>
      <c r="J27" s="5" t="inlineStr">
        <is>
          <t>§3.2, §2.4</t>
        </is>
      </c>
      <c r="K27" s="5" t="inlineStr">
        <is>
          <t>BACK</t>
        </is>
      </c>
      <c r="L27" s="5" t="inlineStr">
        <is>
          <t>Must</t>
        </is>
      </c>
      <c r="M27" s="5" t="n">
        <v>5</v>
      </c>
      <c r="N27" s="5" t="inlineStr">
        <is>
          <t>L0-01</t>
        </is>
      </c>
      <c r="O27" s="5" t="inlineStr">
        <is>
          <t>Terminé</t>
        </is>
      </c>
      <c r="P27" s="5" t="inlineStr"/>
    </row>
    <row r="28">
      <c r="A28" s="5" t="inlineStr">
        <is>
          <t>L0-27</t>
        </is>
      </c>
      <c r="B28" s="5" t="inlineStr">
        <is>
          <t>L0</t>
        </is>
      </c>
      <c r="C28" s="5" t="inlineStr">
        <is>
          <t>E0.6</t>
        </is>
      </c>
      <c r="D28" s="5" t="inlineStr">
        <is>
          <t>Socle API</t>
        </is>
      </c>
      <c r="E28" s="5" t="inlineStr">
        <is>
          <t>Tâche technique</t>
        </is>
      </c>
      <c r="F28" s="5" t="inlineStr">
        <is>
          <t>Conventions HTTP transverses</t>
        </is>
      </c>
      <c r="G28" s="5" t="inlineStr">
        <is>
          <t>ETag et If-Match, pagination par curseur, Idempotency-Key, throttling, Helmet, CORS.</t>
        </is>
      </c>
      <c r="H28" s="5" t="inlineStr">
        <is>
          <t>- If-Match absent ou périmé renvoie 412
- Pagination limit et cursor opérationnelle
- Rate limiting renforcé sur /auth/*</t>
        </is>
      </c>
      <c r="I28" s="5" t="inlineStr">
        <is>
          <t>—</t>
        </is>
      </c>
      <c r="J28" s="5" t="inlineStr">
        <is>
          <t>§3.1, §5.3</t>
        </is>
      </c>
      <c r="K28" s="5" t="inlineStr">
        <is>
          <t>BACK</t>
        </is>
      </c>
      <c r="L28" s="5" t="inlineStr">
        <is>
          <t>Must</t>
        </is>
      </c>
      <c r="M28" s="5" t="n">
        <v>5</v>
      </c>
      <c r="N28" s="5" t="inlineStr">
        <is>
          <t>L0-26</t>
        </is>
      </c>
      <c r="O28" s="5" t="inlineStr">
        <is>
          <t>Terminé</t>
        </is>
      </c>
      <c r="P28" s="5" t="inlineStr"/>
    </row>
    <row r="29">
      <c r="A29" s="5" t="inlineStr">
        <is>
          <t>L0-28</t>
        </is>
      </c>
      <c r="B29" s="5" t="inlineStr">
        <is>
          <t>L0</t>
        </is>
      </c>
      <c r="C29" s="5" t="inlineStr">
        <is>
          <t>E0.6</t>
        </is>
      </c>
      <c r="D29" s="5" t="inlineStr">
        <is>
          <t>Socle API</t>
        </is>
      </c>
      <c r="E29" s="5" t="inlineStr">
        <is>
          <t>Tâche technique</t>
        </is>
      </c>
      <c r="F29" s="5" t="inlineStr">
        <is>
          <t>OpenAPI 3.1 généré</t>
        </is>
      </c>
      <c r="G29" s="5" t="inlineStr">
        <is>
          <t>Documentation exposée sur /api/docs, désactivable en production publique.</t>
        </is>
      </c>
      <c r="H29" s="5" t="inlineStr">
        <is>
          <t>- Le contrat est généré depuis le code
- /api/docs est désactivé en production publique</t>
        </is>
      </c>
      <c r="I29" s="5" t="inlineStr">
        <is>
          <t>—</t>
        </is>
      </c>
      <c r="J29" s="5" t="inlineStr">
        <is>
          <t>§3.1</t>
        </is>
      </c>
      <c r="K29" s="5" t="inlineStr">
        <is>
          <t>BACK</t>
        </is>
      </c>
      <c r="L29" s="5" t="inlineStr">
        <is>
          <t>Should</t>
        </is>
      </c>
      <c r="M29" s="5" t="n">
        <v>2</v>
      </c>
      <c r="N29" s="5" t="inlineStr">
        <is>
          <t>L0-27</t>
        </is>
      </c>
      <c r="O29" s="5" t="inlineStr">
        <is>
          <t>Terminé</t>
        </is>
      </c>
      <c r="P29" s="5" t="inlineStr"/>
    </row>
    <row r="30">
      <c r="A30" s="5" t="inlineStr">
        <is>
          <t>L0-29</t>
        </is>
      </c>
      <c r="B30" s="5" t="inlineStr">
        <is>
          <t>L0</t>
        </is>
      </c>
      <c r="C30" s="5" t="inlineStr">
        <is>
          <t>E0.7</t>
        </is>
      </c>
      <c r="D30" s="5" t="inlineStr">
        <is>
          <t>Socle web</t>
        </is>
      </c>
      <c r="E30" s="5" t="inlineStr">
        <is>
          <t>Story</t>
        </is>
      </c>
      <c r="F30" s="5" t="inlineStr">
        <is>
          <t>Shell web, navigation par rôle et connexion</t>
        </is>
      </c>
      <c r="G30" s="5" t="inlineStr">
        <is>
          <t>Layout, login, MFA, changement de mot de passe, refresh transparent, React Query, shadcn, i18n français (textes externalisés), libellés d'états du glossaire.</t>
        </is>
      </c>
      <c r="H30" s="5" t="inlineStr">
        <is>
          <t>- Le menu affiche uniquement les entrées autorisées au rôle (quatre rôles)
- Le jeton expiré est rafraîchi sans perte de saisie
- Les textes sont externalisés (i18n) et aucun code d'état technique n'est affiché
- Dates JJ/MM/AAAA et heures sur 24 h</t>
        </is>
      </c>
      <c r="I30" s="5" t="inlineStr">
        <is>
          <t>EX-NFR-08, EX-EXP-01</t>
        </is>
      </c>
      <c r="J30" s="5" t="inlineStr">
        <is>
          <t>§0.1, §5.1</t>
        </is>
      </c>
      <c r="K30" s="5" t="inlineStr">
        <is>
          <t>FRONT</t>
        </is>
      </c>
      <c r="L30" s="5" t="inlineStr">
        <is>
          <t>Must</t>
        </is>
      </c>
      <c r="M30" s="5" t="n">
        <v>8</v>
      </c>
      <c r="N30" s="5" t="inlineStr">
        <is>
          <t>L0-10, L0-05</t>
        </is>
      </c>
      <c r="O30" s="5" t="inlineStr">
        <is>
          <t>Terminé</t>
        </is>
      </c>
      <c r="P30" s="5" t="inlineStr"/>
    </row>
    <row r="31">
      <c r="A31" s="5" t="inlineStr">
        <is>
          <t>L0-30</t>
        </is>
      </c>
      <c r="B31" s="5" t="inlineStr">
        <is>
          <t>L0</t>
        </is>
      </c>
      <c r="C31" s="5" t="inlineStr">
        <is>
          <t>E0.7</t>
        </is>
      </c>
      <c r="D31" s="5" t="inlineStr">
        <is>
          <t>Socle web</t>
        </is>
      </c>
      <c r="E31" s="5" t="inlineStr">
        <is>
          <t>Story</t>
        </is>
      </c>
      <c r="F31" s="5" t="inlineStr">
        <is>
          <t>Écran d'administration des utilisateurs</t>
        </is>
      </c>
      <c r="G31" s="5" t="inlineStr">
        <is>
          <t>Liste, création, rôles et portées, activation, désactivation, déclenchement de réinitialisation, MFA.</t>
        </is>
      </c>
      <c r="H31" s="5" t="inlineStr">
        <is>
          <t>- L'Administrateur crée un compte et affecte rôle et département
- Il déclenche une réinitialisation sans voir de mot de passe
- Les erreurs API sont affichées de façon lisible</t>
        </is>
      </c>
      <c r="I31" s="5" t="inlineStr">
        <is>
          <t>EX-SEC-02, EX-SEC-03</t>
        </is>
      </c>
      <c r="J31" s="5" t="inlineStr">
        <is>
          <t>§3.3</t>
        </is>
      </c>
      <c r="K31" s="5" t="inlineStr">
        <is>
          <t>FRONT</t>
        </is>
      </c>
      <c r="L31" s="5" t="inlineStr">
        <is>
          <t>Must</t>
        </is>
      </c>
      <c r="M31" s="5" t="n">
        <v>5</v>
      </c>
      <c r="N31" s="5" t="inlineStr">
        <is>
          <t>L0-29, L0-15, L0-16</t>
        </is>
      </c>
      <c r="O31" s="5" t="inlineStr">
        <is>
          <t>Terminé</t>
        </is>
      </c>
      <c r="P31" s="5" t="inlineStr"/>
    </row>
    <row r="32">
      <c r="A32" s="5" t="inlineStr">
        <is>
          <t>L0-31</t>
        </is>
      </c>
      <c r="B32" s="5" t="inlineStr">
        <is>
          <t>L0</t>
        </is>
      </c>
      <c r="C32" s="5" t="inlineStr">
        <is>
          <t>E0.7</t>
        </is>
      </c>
      <c r="D32" s="5" t="inlineStr">
        <is>
          <t>Socle web</t>
        </is>
      </c>
      <c r="E32" s="5" t="inlineStr">
        <is>
          <t>Story</t>
        </is>
      </c>
      <c r="F32" s="5" t="inlineStr">
        <is>
          <t>Écrans des paramètres de sécurité et du journal</t>
        </is>
      </c>
      <c r="G32" s="5" t="inlineStr">
        <is>
          <t>Paramètres de sécurité, conservation, journal de sécurité (Administrateur).</t>
        </is>
      </c>
      <c r="H32" s="5" t="inlineStr">
        <is>
          <t>- Tous les paramètres sont modifiables avec leurs valeurs courantes et par défaut
- Le journal est filtrable par type, utilisateur et période
- Accès réservé à l'Administrateur</t>
        </is>
      </c>
      <c r="I32" s="5" t="inlineStr">
        <is>
          <t>EX-SEC-04, EX-SEC-09</t>
        </is>
      </c>
      <c r="J32" s="5" t="inlineStr">
        <is>
          <t>§3.3</t>
        </is>
      </c>
      <c r="K32" s="5" t="inlineStr">
        <is>
          <t>FRONT</t>
        </is>
      </c>
      <c r="L32" s="5" t="inlineStr">
        <is>
          <t>Should</t>
        </is>
      </c>
      <c r="M32" s="5" t="n">
        <v>5</v>
      </c>
      <c r="N32" s="5" t="inlineStr">
        <is>
          <t>L0-29, L0-13, L0-18</t>
        </is>
      </c>
      <c r="O32" s="5" t="inlineStr">
        <is>
          <t>Terminé</t>
        </is>
      </c>
      <c r="P32" s="5" t="inlineStr"/>
    </row>
    <row r="33">
      <c r="A33" s="5" t="inlineStr">
        <is>
          <t>L0-32</t>
        </is>
      </c>
      <c r="B33" s="5" t="inlineStr">
        <is>
          <t>L0</t>
        </is>
      </c>
      <c r="C33" s="5" t="inlineStr">
        <is>
          <t>E0.7</t>
        </is>
      </c>
      <c r="D33" s="5" t="inlineStr">
        <is>
          <t>Socle web</t>
        </is>
      </c>
      <c r="E33" s="5" t="inlineStr">
        <is>
          <t>Tâche technique</t>
        </is>
      </c>
      <c r="F33" s="5" t="inlineStr">
        <is>
          <t>JWT Auth Guard (JwtAuthGuard)</t>
        </is>
      </c>
      <c r="G33" s="5" t="inlineStr">
        <is>
          <t>Implémentation du guard JwtAuthGuard pour protéger les routes avec vérification du JWT d'accès (signature, expiration, revocation via refresh token family).</t>
        </is>
      </c>
      <c r="H33" s="5" t="inlineStr">
        <is>
          <t>- Le guard extrait le token du header Authorization Bearer
- Valide la signature et l'expiration
- Vérifie la non-révocation via la famille de refresh tokens
- Retourne 401 avec ProblemJson RFC 9457 en cas d'échec</t>
        </is>
      </c>
      <c r="I33" s="5" t="inlineStr">
        <is>
          <t>EX-SEC-01</t>
        </is>
      </c>
      <c r="J33" s="5" t="inlineStr">
        <is>
          <t>§5.1</t>
        </is>
      </c>
      <c r="K33" s="5" t="inlineStr">
        <is>
          <t>BACK</t>
        </is>
      </c>
      <c r="L33" s="5" t="inlineStr">
        <is>
          <t>Must</t>
        </is>
      </c>
      <c r="M33" s="5" t="n">
        <v>3</v>
      </c>
      <c r="N33" s="5" t="inlineStr">
        <is>
          <t>L0-10</t>
        </is>
      </c>
      <c r="O33" s="5" t="inlineStr">
        <is>
          <t>Terminé</t>
        </is>
      </c>
      <c r="P33" s="5" t="inlineStr"/>
    </row>
    <row r="34">
      <c r="A34" s="5" t="inlineStr">
        <is>
          <t>L0-33</t>
        </is>
      </c>
      <c r="B34" s="5" t="inlineStr">
        <is>
          <t>L0</t>
        </is>
      </c>
      <c r="C34" s="5" t="inlineStr">
        <is>
          <t>E0.7</t>
        </is>
      </c>
      <c r="D34" s="5" t="inlineStr">
        <is>
          <t>Socle web</t>
        </is>
      </c>
      <c r="E34" s="5" t="inlineStr">
        <is>
          <t>Tâche technique</t>
        </is>
      </c>
      <c r="F34" s="5" t="inlineStr">
        <is>
          <t>RolesGuard et décorateur @Roles()</t>
        </is>
      </c>
      <c r="G34" s="5" t="inlineStr">
        <is>
          <t>Guard RolesGuard vérifiant les rôles requis et la portée département ; décorateur @Roles() pour déclarer les rôles attendus sur les contrôleurs.</t>
        </is>
      </c>
      <c r="H34" s="5" t="inlineStr">
        <is>
          <t>- Le guard lit les rôles depuis le payload JWT
- Vérifie l'appartenance au département de l'utilisateur
- Le décorateur accepte un ou plusieurs rôles
- Retourne 403 ProblemJson si insuffisant</t>
        </is>
      </c>
      <c r="I34" s="5" t="inlineStr">
        <is>
          <t>EX-SEC-01</t>
        </is>
      </c>
      <c r="J34" s="5" t="inlineStr">
        <is>
          <t>§5.1</t>
        </is>
      </c>
      <c r="K34" s="5" t="inlineStr">
        <is>
          <t>BACK</t>
        </is>
      </c>
      <c r="L34" s="5" t="inlineStr">
        <is>
          <t>Must</t>
        </is>
      </c>
      <c r="M34" s="5" t="n">
        <v>3</v>
      </c>
      <c r="N34" s="5" t="inlineStr">
        <is>
          <t>L0-32</t>
        </is>
      </c>
      <c r="O34" s="5" t="inlineStr">
        <is>
          <t>Terminé</t>
        </is>
      </c>
      <c r="P34" s="5" t="inlineStr"/>
    </row>
    <row r="35">
      <c r="A35" s="5" t="inlineStr">
        <is>
          <t>L0-34</t>
        </is>
      </c>
      <c r="B35" s="5" t="inlineStr">
        <is>
          <t>L0</t>
        </is>
      </c>
      <c r="C35" s="5" t="inlineStr">
        <is>
          <t>E0.7</t>
        </is>
      </c>
      <c r="D35" s="5" t="inlineStr">
        <is>
          <t>Socle web</t>
        </is>
      </c>
      <c r="E35" s="5" t="inlineStr">
        <is>
          <t>Story</t>
        </is>
      </c>
      <c r="F35" s="5" t="inlineStr">
        <is>
          <t>UsersModule (CRUD + reset‑pwd)</t>
        </is>
      </c>
      <c r="G35" s="5" t="inlineStr">
        <is>
          <t>Module Users complet : création, lecture, mise à jour, suppression (soft‑delete) d'utilisateurs, changement de mot de passe par l'utilisateur, réinitialisation par l'administrateur avec lien à usage unique.</t>
        </is>
      </c>
      <c r="H35" s="5" t="inlineStr">
        <is>
          <t>- Seul l'Administrateur peut créer/supprimer
- L'utilisateur peut modifier son propre profil et mot de passe
- L'administrateur génère un lien de réinitialisation (token opaque, TTL court)
- Tous les endpoints documentés OpenAPI</t>
        </is>
      </c>
      <c r="I35" s="5" t="inlineStr">
        <is>
          <t>EX-SEC-02</t>
        </is>
      </c>
      <c r="J35" s="5" t="inlineStr">
        <is>
          <t>§5.1, §3.4.21</t>
        </is>
      </c>
      <c r="K35" s="5" t="inlineStr">
        <is>
          <t>BACK</t>
        </is>
      </c>
      <c r="L35" s="5" t="inlineStr">
        <is>
          <t>Must</t>
        </is>
      </c>
      <c r="M35" s="5" t="n">
        <v>5</v>
      </c>
      <c r="N35" s="5" t="inlineStr">
        <is>
          <t>L0-33</t>
        </is>
      </c>
      <c r="O35" s="5" t="inlineStr">
        <is>
          <t>Terminé</t>
        </is>
      </c>
      <c r="P35" s="5" t="inlineStr"/>
    </row>
    <row r="36">
      <c r="A36" s="5" t="inlineStr">
        <is>
          <t>L0-35</t>
        </is>
      </c>
      <c r="B36" s="5" t="inlineStr">
        <is>
          <t>L0</t>
        </is>
      </c>
      <c r="C36" s="5" t="inlineStr">
        <is>
          <t>E0.7</t>
        </is>
      </c>
      <c r="D36" s="5" t="inlineStr">
        <is>
          <t>Socle web</t>
        </is>
      </c>
      <c r="E36" s="5" t="inlineStr">
        <is>
          <t>Tâche technique</t>
        </is>
      </c>
      <c r="F36" s="5" t="inlineStr">
        <is>
          <t>Filtre global ProblemJson (RFC 9457)</t>
        </is>
      </c>
      <c r="G36" s="5" t="inlineStr">
        <is>
          <t>Filtre d'exception global transformant toute erreur en réponse application/problem+json (type, title, status, detail, instance, errors).</t>
        </is>
      </c>
      <c r="H36" s="5" t="inlineStr">
        <is>
          <t>- Toutes les HttpException et erreurs imprévues passent par le filtre
- Le format respecte RFC 9457
- Le type d'erreur contient une URI stable https://takt.example.fr/errors/{status}</t>
        </is>
      </c>
      <c r="I36" s="5" t="inlineStr">
        <is>
          <t>EX-NFR-05</t>
        </is>
      </c>
      <c r="J36" s="5" t="inlineStr">
        <is>
          <t>§5.4</t>
        </is>
      </c>
      <c r="K36" s="5" t="inlineStr">
        <is>
          <t>BACK</t>
        </is>
      </c>
      <c r="L36" s="5" t="inlineStr">
        <is>
          <t>Must</t>
        </is>
      </c>
      <c r="M36" s="5" t="n">
        <v>3</v>
      </c>
      <c r="N36" s="5" t="inlineStr">
        <is>
          <t>L0-32</t>
        </is>
      </c>
      <c r="O36" s="5" t="inlineStr">
        <is>
          <t>Terminé</t>
        </is>
      </c>
      <c r="P36" s="5" t="inlineStr"/>
    </row>
    <row r="37">
      <c r="A37" s="5" t="inlineStr">
        <is>
          <t>L0-36</t>
        </is>
      </c>
      <c r="B37" s="5" t="inlineStr">
        <is>
          <t>L0</t>
        </is>
      </c>
      <c r="C37" s="5" t="inlineStr">
        <is>
          <t>E0.7</t>
        </is>
      </c>
      <c r="D37" s="5" t="inlineStr">
        <is>
          <t>Socle web</t>
        </is>
      </c>
      <c r="E37" s="5" t="inlineStr">
        <is>
          <t>Tâche technique</t>
        </is>
      </c>
      <c r="F37" s="5" t="inlineStr">
        <is>
          <t>Intercepteur de réponse avec en‑tête Link (pagination curseur)</t>
        </is>
      </c>
      <c r="G37" s="5" t="inlineStr">
        <is>
          <t>ResponseInterceptor ajoutant l'en‑tête Link RFC 5988 (rel=next) lorsque le payload paginé contient nextCursor.</t>
        </is>
      </c>
      <c r="H37" s="5" t="inlineStr">
        <is>
          <t>- L'en‑tête Link n'est ajouté que si nextCursor présent
- L'URL construida conserve les paramètres de requête existants
- Conforme à la pagination curseur définie dans ST §3.1</t>
        </is>
      </c>
      <c r="I37" s="5" t="inlineStr">
        <is>
          <t>EX-NFR-04</t>
        </is>
      </c>
      <c r="J37" s="5" t="inlineStr">
        <is>
          <t>§3.1, §5.4</t>
        </is>
      </c>
      <c r="K37" s="5" t="inlineStr">
        <is>
          <t>BACK</t>
        </is>
      </c>
      <c r="L37" s="5" t="inlineStr">
        <is>
          <t>Must</t>
        </is>
      </c>
      <c r="M37" s="5" t="n">
        <v>2</v>
      </c>
      <c r="N37" s="5" t="inlineStr">
        <is>
          <t>L0-35</t>
        </is>
      </c>
      <c r="O37" s="5" t="inlineStr">
        <is>
          <t>Terminé</t>
        </is>
      </c>
      <c r="P37" s="5" t="inlineStr"/>
    </row>
    <row r="38">
      <c r="A38" s="5" t="inlineStr">
        <is>
          <t>L0-37</t>
        </is>
      </c>
      <c r="B38" s="5" t="inlineStr">
        <is>
          <t>L0</t>
        </is>
      </c>
      <c r="C38" s="5" t="inlineStr">
        <is>
          <t>E0.7</t>
        </is>
      </c>
      <c r="D38" s="5" t="inlineStr">
        <is>
          <t>Socle web</t>
        </is>
      </c>
      <c r="E38" s="5" t="inlineStr">
        <is>
          <t>Tâche technique</t>
        </is>
      </c>
      <c r="F38" s="5" t="inlineStr">
        <is>
          <t>Configuration Swagger UI à /api/docs</t>
        </is>
      </c>
      <c r="G38" s="5" t="inlineStr">
        <is>
          <t>Initialisation de SwaggerModule avec DocumentBuilder (BearerAuth, tags, version) et exposition de l'UI à /api/docs.</t>
        </is>
      </c>
      <c r="H38" s="5" t="inlineStr">
        <is>
          <t>- L'UI est accessible sans authentification
- Les schémas DTO sont inclus via @ApiProperty
- Le document OpenAPI 3.1 est généré au démarrage</t>
        </is>
      </c>
      <c r="I38" s="5" t="inlineStr">
        <is>
          <t>EX-NFR-09</t>
        </is>
      </c>
      <c r="J38" s="5" t="inlineStr">
        <is>
          <t>§5.3</t>
        </is>
      </c>
      <c r="K38" s="5" t="inlineStr">
        <is>
          <t>BACK</t>
        </is>
      </c>
      <c r="L38" s="5" t="inlineStr">
        <is>
          <t>Must</t>
        </is>
      </c>
      <c r="M38" s="5" t="n">
        <v>2</v>
      </c>
      <c r="N38" s="5" t="inlineStr">
        <is>
          <t>L0-35</t>
        </is>
      </c>
      <c r="O38" s="5" t="inlineStr">
        <is>
          <t>Terminé</t>
        </is>
      </c>
      <c r="P38" s="5" t="inlineStr"/>
    </row>
    <row r="39">
      <c r="A39" s="5" t="inlineStr">
        <is>
          <t>L0-38</t>
        </is>
      </c>
      <c r="B39" s="5" t="inlineStr">
        <is>
          <t>L0</t>
        </is>
      </c>
      <c r="C39" s="5" t="inlineStr">
        <is>
          <t>E0.7</t>
        </is>
      </c>
      <c r="D39" s="5" t="inlineStr">
        <is>
          <t>Socle web</t>
        </is>
      </c>
      <c r="E39" s="5" t="inlineStr">
        <is>
          <t>Tâche technique</t>
        </is>
      </c>
      <c r="F39" s="5" t="inlineStr">
        <is>
          <t>Enregistrement d'événements de sécurité</t>
        </is>
      </c>
      <c r="G39" s="5" t="inlineStr">
        <is>
          <t>Service d'audit pour tracer les événements de sécurité (connexion, échec, MFA, changements de rôle, etc.) et les exposer via API.</t>
        </is>
      </c>
      <c r="H39" s="5" t="inlineStr">
        <is>
          <t>- Les événements sont écrits de façon asynchrone
- Chaque événement contient: type, userId, ip, userAgent, timestamp, détails
- L'API permet de lister/filtrer les événements (admin only)
- Intégré au guard JWT et au service d'audit futur</t>
        </is>
      </c>
      <c r="I39" s="5" t="inlineStr">
        <is>
          <t>EX-SEC-01</t>
        </is>
      </c>
      <c r="J39" s="5" t="inlineStr">
        <is>
          <t>§5.1</t>
        </is>
      </c>
      <c r="K39" s="5" t="inlineStr">
        <is>
          <t>BACK</t>
        </is>
      </c>
      <c r="L39" s="5" t="inlineStr">
        <is>
          <t>Must</t>
        </is>
      </c>
      <c r="M39" s="5" t="n">
        <v>3</v>
      </c>
      <c r="N39" s="5" t="inlineStr">
        <is>
          <t>L0-32, L0-23</t>
        </is>
      </c>
      <c r="O39" s="5" t="inlineStr">
        <is>
          <t>Terminé</t>
        </is>
      </c>
      <c r="P39" s="5" t="inlineStr"/>
    </row>
    <row r="40">
      <c r="A40" s="5" t="inlineStr">
        <is>
          <t>L0-39</t>
        </is>
      </c>
      <c r="B40" s="5" t="inlineStr">
        <is>
          <t>L0</t>
        </is>
      </c>
      <c r="C40" s="5" t="inlineStr">
        <is>
          <t>E0.7</t>
        </is>
      </c>
      <c r="D40" s="5" t="inlineStr">
        <is>
          <t>Socle web</t>
        </is>
      </c>
      <c r="E40" s="5" t="inlineStr">
        <is>
          <t>Tâche technique</t>
        </is>
      </c>
      <c r="F40" s="5" t="inlineStr">
        <is>
          <t>Brancher l'interceptor SecurityEvent sur l'authentification</t>
        </is>
      </c>
      <c r="G40" s="5" t="inlineStr">
        <is>
          <t>Appliquer SecurityEventInterceptor sur les contrôleurs d'authentification (login, register, refresh, logout) pour capturer les événements de sécurité réels (succès).</t>
        </is>
      </c>
      <c r="H40" s="5" t="inlineStr">
        <is>
          <t>- Login, register, refresh et logout génèrent un SecurityEvent
- Les événements MFA restent gérés par MfaService (pas de doublon)
- L'email est capturé depuis le corps de requête sur les routes publiques</t>
        </is>
      </c>
      <c r="I40" s="5" t="inlineStr">
        <is>
          <t>EX-SEC-01</t>
        </is>
      </c>
      <c r="J40" s="5" t="inlineStr">
        <is>
          <t>§5.1</t>
        </is>
      </c>
      <c r="K40" s="5" t="inlineStr">
        <is>
          <t>BACK</t>
        </is>
      </c>
      <c r="L40" s="5" t="inlineStr">
        <is>
          <t>Must</t>
        </is>
      </c>
      <c r="M40" s="5" t="n">
        <v>2</v>
      </c>
      <c r="N40" s="5" t="inlineStr">
        <is>
          <t>L0-38, L0-32</t>
        </is>
      </c>
      <c r="O40" s="5" t="inlineStr">
        <is>
          <t>Terminé</t>
        </is>
      </c>
      <c r="P40" s="5" t="inlineStr"/>
    </row>
    <row r="41">
      <c r="A41" s="5" t="inlineStr">
        <is>
          <t>L1-01</t>
        </is>
      </c>
      <c r="B41" s="5" t="inlineStr">
        <is>
          <t>L1</t>
        </is>
      </c>
      <c r="C41" s="5" t="inlineStr">
        <is>
          <t>E1.1</t>
        </is>
      </c>
      <c r="D41" s="5" t="inlineStr">
        <is>
          <t>Années &amp; semestres</t>
        </is>
      </c>
      <c r="E41" s="5" t="inlineStr">
        <is>
          <t>Story</t>
        </is>
      </c>
      <c r="F41" s="5" t="inlineStr">
        <is>
          <t>CRUD années et semestres</t>
        </is>
      </c>
      <c r="G41" s="5" t="inlineStr">
        <is>
          <t>Années universitaires et semestres (numéro, code, nbSemaines).</t>
        </is>
      </c>
      <c r="H41" s="5" t="inlineStr">
        <is>
          <t>- Unicité du code d'année et du couple (année, numéro)
- Seul l'Administrateur écrit ; les autres rôles lisent
- Un semestre compte 14 semaines par défaut
- Toutes les routes du contrôleur d'années sont protégées par @Permissions('annee:read')/@Permissions('annee:write') ; toute route non décorée est refusée par défaut (403)</t>
        </is>
      </c>
      <c r="I41" s="5" t="inlineStr">
        <is>
          <t>EX-CAL-01</t>
        </is>
      </c>
      <c r="J41" s="5" t="inlineStr">
        <is>
          <t>§2.2</t>
        </is>
      </c>
      <c r="K41" s="5" t="inlineStr">
        <is>
          <t>BACK</t>
        </is>
      </c>
      <c r="L41" s="5" t="inlineStr">
        <is>
          <t>Must</t>
        </is>
      </c>
      <c r="M41" s="5" t="n">
        <v>3</v>
      </c>
      <c r="N41" s="5" t="inlineStr">
        <is>
          <t>L0-19, L0-23</t>
        </is>
      </c>
      <c r="O41" s="5" t="inlineStr">
        <is>
          <t>Terminé</t>
        </is>
      </c>
      <c r="P41" s="5" t="inlineStr"/>
    </row>
    <row r="42">
      <c r="A42" s="5" t="inlineStr">
        <is>
          <t>L1-02</t>
        </is>
      </c>
      <c r="B42" s="5" t="inlineStr">
        <is>
          <t>L1</t>
        </is>
      </c>
      <c r="C42" s="5" t="inlineStr">
        <is>
          <t>E1.1</t>
        </is>
      </c>
      <c r="D42" s="5" t="inlineStr">
        <is>
          <t>Années &amp; semestres</t>
        </is>
      </c>
      <c r="E42" s="5" t="inlineStr">
        <is>
          <t>Story</t>
        </is>
      </c>
      <c r="F42" s="5" t="inlineStr">
        <is>
          <t>Activation d'une année</t>
        </is>
      </c>
      <c r="G42" s="5" t="inlineStr">
        <is>
          <t>Transition ACTIVER avec gardes (une seule année active).</t>
        </is>
      </c>
      <c r="H42" s="5" t="inlineStr">
        <is>
          <t>- Une seule année ACTIVE (index unique partiel)
- Activation refusée sans jeu de règles de charge affecté (garde branchée en L2)
- Les statuts sont PREPARATION, ACTIVE et CLOTUREE uniquement</t>
        </is>
      </c>
      <c r="I42" s="5" t="inlineStr">
        <is>
          <t>EX-CAL-01, EX-CAL-05</t>
        </is>
      </c>
      <c r="J42" s="5" t="inlineStr">
        <is>
          <t>§4.1.3, §3.4.15</t>
        </is>
      </c>
      <c r="K42" s="5" t="inlineStr">
        <is>
          <t>BACK</t>
        </is>
      </c>
      <c r="L42" s="5" t="inlineStr">
        <is>
          <t>Must</t>
        </is>
      </c>
      <c r="M42" s="5" t="n">
        <v>3</v>
      </c>
      <c r="N42" s="5" t="inlineStr">
        <is>
          <t>L1-01</t>
        </is>
      </c>
      <c r="O42" s="5" t="inlineStr">
        <is>
          <t>À faire</t>
        </is>
      </c>
      <c r="P42" s="5" t="inlineStr"/>
    </row>
    <row r="43">
      <c r="A43" s="5" t="inlineStr">
        <is>
          <t>L1-03</t>
        </is>
      </c>
      <c r="B43" s="5" t="inlineStr">
        <is>
          <t>L1</t>
        </is>
      </c>
      <c r="C43" s="5" t="inlineStr">
        <is>
          <t>E1.2</t>
        </is>
      </c>
      <c r="D43" s="5" t="inlineStr">
        <is>
          <t>Structure académique</t>
        </is>
      </c>
      <c r="E43" s="5" t="inlineStr">
        <is>
          <t>Story</t>
        </is>
      </c>
      <c r="F43" s="5" t="inlineStr">
        <is>
          <t>CRUD départements, formations, niveaux</t>
        </is>
      </c>
      <c r="G43" s="5" t="inlineStr">
        <is>
          <t>Structure académique rattachée à l'année avec originId.</t>
        </is>
      </c>
      <c r="H43" s="5" t="inlineStr">
        <is>
          <t>- Unicité par (année, code), (département, code), (formation, code)
- Suppression refusée si référencé (RESTRICT) avec liste des références</t>
        </is>
      </c>
      <c r="I43" s="5" t="inlineStr">
        <is>
          <t>EX-ORG-01</t>
        </is>
      </c>
      <c r="J43" s="5" t="inlineStr">
        <is>
          <t>§2.2, §4.19</t>
        </is>
      </c>
      <c r="K43" s="5" t="inlineStr">
        <is>
          <t>BACK</t>
        </is>
      </c>
      <c r="L43" s="5" t="inlineStr">
        <is>
          <t>Must</t>
        </is>
      </c>
      <c r="M43" s="5" t="n">
        <v>5</v>
      </c>
      <c r="N43" s="5" t="inlineStr">
        <is>
          <t>L1-01</t>
        </is>
      </c>
      <c r="O43" s="5" t="inlineStr">
        <is>
          <t>À faire</t>
        </is>
      </c>
      <c r="P43" s="5" t="inlineStr"/>
    </row>
    <row r="44">
      <c r="A44" s="5" t="inlineStr">
        <is>
          <t>L1-04</t>
        </is>
      </c>
      <c r="B44" s="5" t="inlineStr">
        <is>
          <t>L1</t>
        </is>
      </c>
      <c r="C44" s="5" t="inlineStr">
        <is>
          <t>E1.2</t>
        </is>
      </c>
      <c r="D44" s="5" t="inlineStr">
        <is>
          <t>Structure académique</t>
        </is>
      </c>
      <c r="E44" s="5" t="inlineStr">
        <is>
          <t>Story</t>
        </is>
      </c>
      <c r="F44" s="5" t="inlineStr">
        <is>
          <t>CRUD groupes hiérarchiques par semestre</t>
        </is>
      </c>
      <c r="G44" s="5" t="inlineStr">
        <is>
          <t>SECTION, GROUPE, SOUS_GROUPE, effectif, parent, semestre.</t>
        </is>
      </c>
      <c r="H44" s="5" t="inlineStr">
        <is>
          <t>- Hiérarchie sans cycle
- Effectif supérieur ou égal à 0
- La fermeture {soi, ancêtres, descendants} est calculable
- Un enfant partage le semestre de son parent (trigger SQL)
- Unicité (niveau, semestre, code)</t>
        </is>
      </c>
      <c r="I44" s="5" t="inlineStr">
        <is>
          <t>EX-ORG-02</t>
        </is>
      </c>
      <c r="J44" s="5" t="inlineStr">
        <is>
          <t>§2.2, §4.3</t>
        </is>
      </c>
      <c r="K44" s="5" t="inlineStr">
        <is>
          <t>BACK</t>
        </is>
      </c>
      <c r="L44" s="5" t="inlineStr">
        <is>
          <t>Must</t>
        </is>
      </c>
      <c r="M44" s="5" t="n">
        <v>5</v>
      </c>
      <c r="N44" s="5" t="inlineStr">
        <is>
          <t>L1-03</t>
        </is>
      </c>
      <c r="O44" s="5" t="inlineStr">
        <is>
          <t>À faire</t>
        </is>
      </c>
      <c r="P44" s="5" t="inlineStr"/>
    </row>
    <row r="45">
      <c r="A45" s="5" t="inlineStr">
        <is>
          <t>L1-05</t>
        </is>
      </c>
      <c r="B45" s="5" t="inlineStr">
        <is>
          <t>L1</t>
        </is>
      </c>
      <c r="C45" s="5" t="inlineStr">
        <is>
          <t>E1.2</t>
        </is>
      </c>
      <c r="D45" s="5" t="inlineStr">
        <is>
          <t>Structure académique</t>
        </is>
      </c>
      <c r="E45" s="5" t="inlineStr">
        <is>
          <t>Story</t>
        </is>
      </c>
      <c r="F45" s="5" t="inlineStr">
        <is>
          <t>CRUD modules, types d'enseignement et grades</t>
        </is>
      </c>
      <c r="G45" s="5" t="inlineStr">
        <is>
          <t>Modules par niveau, types (CM, TD, TP, CI, Autre) et grades paramétrables.</t>
        </is>
      </c>
      <c r="H45" s="5" t="inlineStr">
        <is>
          <t>- Module rattaché à un niveau avec semestreNumero
- Types et grades paramétrables par l'Administrateur</t>
        </is>
      </c>
      <c r="I45" s="5" t="inlineStr">
        <is>
          <t>EX-REF-01, EX-REF-02</t>
        </is>
      </c>
      <c r="J45" s="5" t="inlineStr">
        <is>
          <t>§2.2</t>
        </is>
      </c>
      <c r="K45" s="5" t="inlineStr">
        <is>
          <t>BACK</t>
        </is>
      </c>
      <c r="L45" s="5" t="inlineStr">
        <is>
          <t>Must</t>
        </is>
      </c>
      <c r="M45" s="5" t="n">
        <v>5</v>
      </c>
      <c r="N45" s="5" t="inlineStr">
        <is>
          <t>L1-03</t>
        </is>
      </c>
      <c r="O45" s="5" t="inlineStr">
        <is>
          <t>À faire</t>
        </is>
      </c>
      <c r="P45" s="5" t="inlineStr"/>
    </row>
    <row r="46">
      <c r="A46" s="5" t="inlineStr">
        <is>
          <t>L1-06</t>
        </is>
      </c>
      <c r="B46" s="5" t="inlineStr">
        <is>
          <t>L1</t>
        </is>
      </c>
      <c r="C46" s="5" t="inlineStr">
        <is>
          <t>E1.2</t>
        </is>
      </c>
      <c r="D46" s="5" t="inlineStr">
        <is>
          <t>Structure académique</t>
        </is>
      </c>
      <c r="E46" s="5" t="inlineStr">
        <is>
          <t>Story</t>
        </is>
      </c>
      <c r="F46" s="5" t="inlineStr">
        <is>
          <t>Référentiel des Activity Tags</t>
        </is>
      </c>
      <c r="G46" s="5" t="inlineStr">
        <is>
          <t>CRUD des FET Activity Tags, tag par défaut d'un type d'enseignement.</t>
        </is>
      </c>
      <c r="H46" s="5" t="inlineStr">
        <is>
          <t>- Un tag est distinct d'un type d'enseignement
- Chaque type porte un tag par défaut
- Un tag référencé ne peut pas être supprimé (désactivation)</t>
        </is>
      </c>
      <c r="I46" s="5" t="inlineStr">
        <is>
          <t>EX-REF-05</t>
        </is>
      </c>
      <c r="J46" s="5" t="inlineStr">
        <is>
          <t>§2.2, §0.1</t>
        </is>
      </c>
      <c r="K46" s="5" t="inlineStr">
        <is>
          <t>BACK</t>
        </is>
      </c>
      <c r="L46" s="5" t="inlineStr">
        <is>
          <t>Must</t>
        </is>
      </c>
      <c r="M46" s="5" t="n">
        <v>3</v>
      </c>
      <c r="N46" s="5" t="inlineStr">
        <is>
          <t>L1-05</t>
        </is>
      </c>
      <c r="O46" s="5" t="inlineStr">
        <is>
          <t>À faire</t>
        </is>
      </c>
      <c r="P46" s="5" t="inlineStr"/>
    </row>
    <row r="47">
      <c r="A47" s="5" t="inlineStr">
        <is>
          <t>L1-07</t>
        </is>
      </c>
      <c r="B47" s="5" t="inlineStr">
        <is>
          <t>L1</t>
        </is>
      </c>
      <c r="C47" s="5" t="inlineStr">
        <is>
          <t>E1.2</t>
        </is>
      </c>
      <c r="D47" s="5" t="inlineStr">
        <is>
          <t>Structure académique</t>
        </is>
      </c>
      <c r="E47" s="5" t="inlineStr">
        <is>
          <t>Story</t>
        </is>
      </c>
      <c r="F47" s="5" t="inlineStr">
        <is>
          <t>Nomenclature normalisée des groupes</t>
        </is>
      </c>
      <c r="G47" s="5" t="inlineStr">
        <is>
          <t>Code {niveau}-{abréviation}-{groupe} validé partout.</t>
        </is>
      </c>
      <c r="H47" s="5" t="inlineStr">
        <is>
          <t>- Regex configurable ^(L1|L2|L3|M1|M2)-[A-Z0-9]{2,8}-[A-Z0-9]{1,4}$
- Segment 2 = abréviation de la formation, unique par année
- GET /groupes/code-suggestion propose le prochain identifiant libre
- Code non conforme refusé (422 GROUP_CODE_INVALID), y compris à l'import
- Segment 3 = identifiant du groupe dans le niveau (1, 2, 3 ou A, B)</t>
        </is>
      </c>
      <c r="I47" s="5" t="inlineStr">
        <is>
          <t>EX-ORG-03</t>
        </is>
      </c>
      <c r="J47" s="5" t="inlineStr">
        <is>
          <t>§4.10</t>
        </is>
      </c>
      <c r="K47" s="5" t="inlineStr">
        <is>
          <t>BACK</t>
        </is>
      </c>
      <c r="L47" s="5" t="inlineStr">
        <is>
          <t>Must</t>
        </is>
      </c>
      <c r="M47" s="5" t="n">
        <v>5</v>
      </c>
      <c r="N47" s="5" t="inlineStr">
        <is>
          <t>L1-04</t>
        </is>
      </c>
      <c r="O47" s="5" t="inlineStr">
        <is>
          <t>À faire</t>
        </is>
      </c>
      <c r="P47" s="5" t="inlineStr"/>
    </row>
    <row r="48">
      <c r="A48" s="5" t="inlineStr">
        <is>
          <t>L1-08</t>
        </is>
      </c>
      <c r="B48" s="5" t="inlineStr">
        <is>
          <t>L1</t>
        </is>
      </c>
      <c r="C48" s="5" t="inlineStr">
        <is>
          <t>E1.2</t>
        </is>
      </c>
      <c r="D48" s="5" t="inlineStr">
        <is>
          <t>Structure académique</t>
        </is>
      </c>
      <c r="E48" s="5" t="inlineStr">
        <is>
          <t>Story</t>
        </is>
      </c>
      <c r="F48" s="5" t="inlineStr">
        <is>
          <t>Duplication des groupes d'un semestre à l'autre</t>
        </is>
      </c>
      <c r="G48" s="5" t="inlineStr">
        <is>
          <t>POST /groupes/duplicate {sourceSemestre, cibleSemestre}.</t>
        </is>
      </c>
      <c r="H48" s="5" t="inlineStr">
        <is>
          <t>- Parents copiés avant les enfants
- Idempotent via originId
- Effectifs copiés ou réinitialisés avec avertissement
- Aucune affectation copiée</t>
        </is>
      </c>
      <c r="I48" s="5" t="inlineStr">
        <is>
          <t>EX-ORG-03</t>
        </is>
      </c>
      <c r="J48" s="5" t="inlineStr">
        <is>
          <t>§4.10</t>
        </is>
      </c>
      <c r="K48" s="5" t="inlineStr">
        <is>
          <t>BACK</t>
        </is>
      </c>
      <c r="L48" s="5" t="inlineStr">
        <is>
          <t>Should</t>
        </is>
      </c>
      <c r="M48" s="5" t="n">
        <v>3</v>
      </c>
      <c r="N48" s="5" t="inlineStr">
        <is>
          <t>L1-07</t>
        </is>
      </c>
      <c r="O48" s="5" t="inlineStr">
        <is>
          <t>À faire</t>
        </is>
      </c>
      <c r="P48" s="5" t="inlineStr"/>
    </row>
    <row r="49">
      <c r="A49" s="5" t="inlineStr">
        <is>
          <t>L1-09</t>
        </is>
      </c>
      <c r="B49" s="5" t="inlineStr">
        <is>
          <t>L1</t>
        </is>
      </c>
      <c r="C49" s="5" t="inlineStr">
        <is>
          <t>E1.2</t>
        </is>
      </c>
      <c r="D49" s="5" t="inlineStr">
        <is>
          <t>Structure académique</t>
        </is>
      </c>
      <c r="E49" s="5" t="inlineStr">
        <is>
          <t>Story</t>
        </is>
      </c>
      <c r="F49" s="5" t="inlineStr">
        <is>
          <t>UI structure académique</t>
        </is>
      </c>
      <c r="G49" s="5" t="inlineStr">
        <is>
          <t>Arbre département &gt; formation &gt; niveau &gt; groupes, modules, types, tags.</t>
        </is>
      </c>
      <c r="H49" s="5" t="inlineStr">
        <is>
          <t>- Création, modification et désactivation depuis l'arbre
- Erreurs de suppression RESTRICT expliquées</t>
        </is>
      </c>
      <c r="I49" s="5" t="inlineStr">
        <is>
          <t>EX-ORG-01, EX-ORG-02</t>
        </is>
      </c>
      <c r="J49" s="5" t="inlineStr">
        <is>
          <t>§3.3</t>
        </is>
      </c>
      <c r="K49" s="5" t="inlineStr">
        <is>
          <t>FRONT</t>
        </is>
      </c>
      <c r="L49" s="5" t="inlineStr">
        <is>
          <t>Must</t>
        </is>
      </c>
      <c r="M49" s="5" t="n">
        <v>8</v>
      </c>
      <c r="N49" s="5" t="inlineStr">
        <is>
          <t>L1-04, L1-05, L1-06, L0-29</t>
        </is>
      </c>
      <c r="O49" s="5" t="inlineStr">
        <is>
          <t>À faire</t>
        </is>
      </c>
      <c r="P49" s="5" t="inlineStr"/>
    </row>
    <row r="50">
      <c r="A50" s="5" t="inlineStr">
        <is>
          <t>L1-10</t>
        </is>
      </c>
      <c r="B50" s="5" t="inlineStr">
        <is>
          <t>L1</t>
        </is>
      </c>
      <c r="C50" s="5" t="inlineStr">
        <is>
          <t>E1.3</t>
        </is>
      </c>
      <c r="D50" s="5" t="inlineStr">
        <is>
          <t>Enseignants, grades &amp; décharges</t>
        </is>
      </c>
      <c r="E50" s="5" t="inlineStr">
        <is>
          <t>Story</t>
        </is>
      </c>
      <c r="F50" s="5" t="inlineStr">
        <is>
          <t>CRUD enseignants et modules enseignables</t>
        </is>
      </c>
      <c r="G50" s="5" t="inlineStr">
        <is>
          <t>Enseignant (matricule, grade, département, téléphone facultatif), modules enseignables.</t>
        </is>
      </c>
      <c r="H50" s="5" t="inlineStr">
        <is>
          <t>- Unicité (année, matricule)
- Désactivation refusée (409) si présent dans une répartition d'une année non clôturée
- Le Responsable modifie les modules enseignables de son département uniquement
- Toutes les routes du contrôleur enseignants sont protégées par @Permissions('enseignant:read')/@Permissions('enseignant:write') ; toute route non décorée est refusée par défaut (403)</t>
        </is>
      </c>
      <c r="I50" s="5" t="inlineStr">
        <is>
          <t>EX-REF-03</t>
        </is>
      </c>
      <c r="J50" s="5" t="inlineStr">
        <is>
          <t>§4.19, §3.3</t>
        </is>
      </c>
      <c r="K50" s="5" t="inlineStr">
        <is>
          <t>BACK</t>
        </is>
      </c>
      <c r="L50" s="5" t="inlineStr">
        <is>
          <t>Must</t>
        </is>
      </c>
      <c r="M50" s="5" t="n">
        <v>5</v>
      </c>
      <c r="N50" s="5" t="inlineStr">
        <is>
          <t>L1-05, L0-19</t>
        </is>
      </c>
      <c r="O50" s="5" t="inlineStr">
        <is>
          <t>À faire</t>
        </is>
      </c>
      <c r="P50" s="5" t="inlineStr"/>
    </row>
    <row r="51">
      <c r="A51" s="5" t="inlineStr">
        <is>
          <t>L1-11</t>
        </is>
      </c>
      <c r="B51" s="5" t="inlineStr">
        <is>
          <t>L1</t>
        </is>
      </c>
      <c r="C51" s="5" t="inlineStr">
        <is>
          <t>E1.3</t>
        </is>
      </c>
      <c r="D51" s="5" t="inlineStr">
        <is>
          <t>Enseignants, grades &amp; décharges</t>
        </is>
      </c>
      <c r="E51" s="5" t="inlineStr">
        <is>
          <t>Story</t>
        </is>
      </c>
      <c r="F51" s="5" t="inlineStr">
        <is>
          <t>Décharges enseignant</t>
        </is>
      </c>
      <c r="G51" s="5" t="inlineStr">
        <is>
          <t>Décharges par semestre en heures équivalentes.</t>
        </is>
      </c>
      <c r="H51" s="5" t="inlineStr">
        <is>
          <t>- CRUD réservé à l'Administrateur
- Les décharges sont prises en compte par le calcul de charge (L2)</t>
        </is>
      </c>
      <c r="I51" s="5" t="inlineStr">
        <is>
          <t>EX-REF-07</t>
        </is>
      </c>
      <c r="J51" s="5" t="inlineStr">
        <is>
          <t>§2.2, §4.2</t>
        </is>
      </c>
      <c r="K51" s="5" t="inlineStr">
        <is>
          <t>BACK</t>
        </is>
      </c>
      <c r="L51" s="5" t="inlineStr">
        <is>
          <t>Must</t>
        </is>
      </c>
      <c r="M51" s="5" t="n">
        <v>3</v>
      </c>
      <c r="N51" s="5" t="inlineStr">
        <is>
          <t>L1-10</t>
        </is>
      </c>
      <c r="O51" s="5" t="inlineStr">
        <is>
          <t>À faire</t>
        </is>
      </c>
      <c r="P51" s="5" t="inlineStr"/>
    </row>
    <row r="52">
      <c r="A52" s="5" t="inlineStr">
        <is>
          <t>L1-12</t>
        </is>
      </c>
      <c r="B52" s="5" t="inlineStr">
        <is>
          <t>L1</t>
        </is>
      </c>
      <c r="C52" s="5" t="inlineStr">
        <is>
          <t>E1.3</t>
        </is>
      </c>
      <c r="D52" s="5" t="inlineStr">
        <is>
          <t>Enseignants, grades &amp; décharges</t>
        </is>
      </c>
      <c r="E52" s="5" t="inlineStr">
        <is>
          <t>Story</t>
        </is>
      </c>
      <c r="F52" s="5" t="inlineStr">
        <is>
          <t>UI enseignants</t>
        </is>
      </c>
      <c r="G52" s="5" t="inlineStr">
        <is>
          <t>Liste, fiche, modules enseignables, décharges.</t>
        </is>
      </c>
      <c r="H52" s="5" t="inlineStr">
        <is>
          <t>- Filtres par département et grade
- Le Responsable voit uniquement son département en écriture</t>
        </is>
      </c>
      <c r="I52" s="5" t="inlineStr">
        <is>
          <t>EX-REF-03, EX-REF-07</t>
        </is>
      </c>
      <c r="J52" s="5" t="inlineStr">
        <is>
          <t>§3.3</t>
        </is>
      </c>
      <c r="K52" s="5" t="inlineStr">
        <is>
          <t>FRONT</t>
        </is>
      </c>
      <c r="L52" s="5" t="inlineStr">
        <is>
          <t>Must</t>
        </is>
      </c>
      <c r="M52" s="5" t="n">
        <v>5</v>
      </c>
      <c r="N52" s="5" t="inlineStr">
        <is>
          <t>L1-10, L0-29</t>
        </is>
      </c>
      <c r="O52" s="5" t="inlineStr">
        <is>
          <t>À faire</t>
        </is>
      </c>
      <c r="P52" s="5" t="inlineStr"/>
    </row>
    <row r="53">
      <c r="A53" s="5" t="inlineStr">
        <is>
          <t>L1-13</t>
        </is>
      </c>
      <c r="B53" s="5" t="inlineStr">
        <is>
          <t>L1</t>
        </is>
      </c>
      <c r="C53" s="5" t="inlineStr">
        <is>
          <t>E1.4</t>
        </is>
      </c>
      <c r="D53" s="5" t="inlineStr">
        <is>
          <t>Salles &amp; équipements</t>
        </is>
      </c>
      <c r="E53" s="5" t="inlineStr">
        <is>
          <t>Story</t>
        </is>
      </c>
      <c r="F53" s="5" t="inlineStr">
        <is>
          <t>CRUD salles, types de salle et équipements</t>
        </is>
      </c>
      <c r="G53" s="5" t="inlineStr">
        <is>
          <t>Capacité maximale et recommandée, accessibilité PMR, commentaire, site, rattachement département optionnel.</t>
        </is>
      </c>
      <c r="H53" s="5" t="inlineStr">
        <is>
          <t>- CHECK capacité &gt; 0 et capacité recommandée inférieure ou égale à la maximale
- Salle partagée = département nul
- Désactivation recommandée à la suppression</t>
        </is>
      </c>
      <c r="I53" s="5" t="inlineStr">
        <is>
          <t>EX-REF-04</t>
        </is>
      </c>
      <c r="J53" s="5" t="inlineStr">
        <is>
          <t>§2.2, §2.4</t>
        </is>
      </c>
      <c r="K53" s="5" t="inlineStr">
        <is>
          <t>BACK</t>
        </is>
      </c>
      <c r="L53" s="5" t="inlineStr">
        <is>
          <t>Must</t>
        </is>
      </c>
      <c r="M53" s="5" t="n">
        <v>5</v>
      </c>
      <c r="N53" s="5" t="inlineStr">
        <is>
          <t>L1-03</t>
        </is>
      </c>
      <c r="O53" s="5" t="inlineStr">
        <is>
          <t>À faire</t>
        </is>
      </c>
      <c r="P53" s="5" t="inlineStr"/>
    </row>
    <row r="54">
      <c r="A54" s="5" t="inlineStr">
        <is>
          <t>L1-14</t>
        </is>
      </c>
      <c r="B54" s="5" t="inlineStr">
        <is>
          <t>L1</t>
        </is>
      </c>
      <c r="C54" s="5" t="inlineStr">
        <is>
          <t>E1.4</t>
        </is>
      </c>
      <c r="D54" s="5" t="inlineStr">
        <is>
          <t>Salles &amp; équipements</t>
        </is>
      </c>
      <c r="E54" s="5" t="inlineStr">
        <is>
          <t>Story</t>
        </is>
      </c>
      <c r="F54" s="5" t="inlineStr">
        <is>
          <t>Référentiel des sites</t>
        </is>
      </c>
      <c r="G54" s="5" t="inlineStr">
        <is>
          <t>Site principal et annexes ; rattachement obligatoire d'une salle à un site.</t>
        </is>
      </c>
      <c r="H54" s="5" t="inlineStr">
        <is>
          <t>- Un site principal existe par défaut
- Les filtres et vues par site sont disponibles
- Le site n'a aucun effet de calcul en v1.0</t>
        </is>
      </c>
      <c r="I54" s="5" t="inlineStr">
        <is>
          <t>EX-REF-04</t>
        </is>
      </c>
      <c r="J54" s="5" t="inlineStr">
        <is>
          <t>§2.2</t>
        </is>
      </c>
      <c r="K54" s="5" t="inlineStr">
        <is>
          <t>BACK</t>
        </is>
      </c>
      <c r="L54" s="5" t="inlineStr">
        <is>
          <t>Should</t>
        </is>
      </c>
      <c r="M54" s="5" t="n">
        <v>2</v>
      </c>
      <c r="N54" s="5" t="inlineStr">
        <is>
          <t>L1-13</t>
        </is>
      </c>
      <c r="O54" s="5" t="inlineStr">
        <is>
          <t>À faire</t>
        </is>
      </c>
      <c r="P54" s="5" t="inlineStr"/>
    </row>
    <row r="55">
      <c r="A55" s="5" t="inlineStr">
        <is>
          <t>L1-15</t>
        </is>
      </c>
      <c r="B55" s="5" t="inlineStr">
        <is>
          <t>L1</t>
        </is>
      </c>
      <c r="C55" s="5" t="inlineStr">
        <is>
          <t>E1.4</t>
        </is>
      </c>
      <c r="D55" s="5" t="inlineStr">
        <is>
          <t>Salles &amp; équipements</t>
        </is>
      </c>
      <c r="E55" s="5" t="inlineStr">
        <is>
          <t>Story</t>
        </is>
      </c>
      <c r="F55" s="5" t="inlineStr">
        <is>
          <t>Compatibilités salle/tag et exigences d'équipement</t>
        </is>
      </c>
      <c r="G55" s="5" t="inlineStr">
        <is>
          <t>SalleActivityTag et ExigenceEquipement (module, type, niveau obligatoire ou souhaité).</t>
        </is>
      </c>
      <c r="H55" s="5" t="inlineStr">
        <is>
          <t>- Une salle liste les Activity Tags autorisés
- Un (module, type) liste les équipements requis avec leur niveau (obligatoire par défaut)
- La compatibilité distingue compatible, acceptable avec avertissement et incompatible</t>
        </is>
      </c>
      <c r="I55" s="5" t="inlineStr">
        <is>
          <t>EX-REF-05, EX-CTR-08</t>
        </is>
      </c>
      <c r="J55" s="5" t="inlineStr">
        <is>
          <t>§2.2, §4.3</t>
        </is>
      </c>
      <c r="K55" s="5" t="inlineStr">
        <is>
          <t>BACK</t>
        </is>
      </c>
      <c r="L55" s="5" t="inlineStr">
        <is>
          <t>Must</t>
        </is>
      </c>
      <c r="M55" s="5" t="n">
        <v>5</v>
      </c>
      <c r="N55" s="5" t="inlineStr">
        <is>
          <t>L1-13, L1-06</t>
        </is>
      </c>
      <c r="O55" s="5" t="inlineStr">
        <is>
          <t>À faire</t>
        </is>
      </c>
      <c r="P55" s="5" t="inlineStr"/>
    </row>
    <row r="56">
      <c r="A56" s="5" t="inlineStr">
        <is>
          <t>L1-16</t>
        </is>
      </c>
      <c r="B56" s="5" t="inlineStr">
        <is>
          <t>L1</t>
        </is>
      </c>
      <c r="C56" s="5" t="inlineStr">
        <is>
          <t>E1.4</t>
        </is>
      </c>
      <c r="D56" s="5" t="inlineStr">
        <is>
          <t>Salles &amp; équipements</t>
        </is>
      </c>
      <c r="E56" s="5" t="inlineStr">
        <is>
          <t>Story</t>
        </is>
      </c>
      <c r="F56" s="5" t="inlineStr">
        <is>
          <t>UI salles</t>
        </is>
      </c>
      <c r="G56" s="5" t="inlineStr">
        <is>
          <t>Liste, fiche, équipements, tags compatibles, sites.</t>
        </is>
      </c>
      <c r="H56" s="5" t="inlineStr">
        <is>
          <t>- Création et modification d'une salle avec ses compatibilités
- Lecture seule pour le Gestionnaire</t>
        </is>
      </c>
      <c r="I56" s="5" t="inlineStr">
        <is>
          <t>EX-REF-04</t>
        </is>
      </c>
      <c r="J56" s="5" t="inlineStr">
        <is>
          <t>§3.3</t>
        </is>
      </c>
      <c r="K56" s="5" t="inlineStr">
        <is>
          <t>FRONT</t>
        </is>
      </c>
      <c r="L56" s="5" t="inlineStr">
        <is>
          <t>Must</t>
        </is>
      </c>
      <c r="M56" s="5" t="n">
        <v>5</v>
      </c>
      <c r="N56" s="5" t="inlineStr">
        <is>
          <t>L1-15, L1-14, L0-29</t>
        </is>
      </c>
      <c r="O56" s="5" t="inlineStr">
        <is>
          <t>À faire</t>
        </is>
      </c>
      <c r="P56" s="5" t="inlineStr"/>
    </row>
    <row r="57">
      <c r="A57" s="5" t="inlineStr">
        <is>
          <t>L1-17</t>
        </is>
      </c>
      <c r="B57" s="5" t="inlineStr">
        <is>
          <t>L1</t>
        </is>
      </c>
      <c r="C57" s="5" t="inlineStr">
        <is>
          <t>E1.5</t>
        </is>
      </c>
      <c r="D57" s="5" t="inlineStr">
        <is>
          <t>Grille horaire &amp; indisponibilités</t>
        </is>
      </c>
      <c r="E57" s="5" t="inlineStr">
        <is>
          <t>Story</t>
        </is>
      </c>
      <c r="F57" s="5" t="inlineStr">
        <is>
          <t>CRUD créneaux et pauses (par semestre)</t>
        </is>
      </c>
      <c r="G57" s="5" t="inlineStr">
        <is>
          <t>Grille lundi–samedi propre à chaque semestre, ordre consécutif, pauses, pas fixe de 30 minutes.</t>
        </is>
      </c>
      <c r="H57" s="5" t="inlineStr">
        <is>
          <t>- Unicité (semestre, jour, ordre)
- Durée exacte de 30 minutes (CHECK SQL, constante SLOT_MINUTES)
- Une pause est non planifiable
- Les deux semestres d'une année peuvent avoir des grilles différentes</t>
        </is>
      </c>
      <c r="I57" s="5" t="inlineStr">
        <is>
          <t>EX-CAL-02</t>
        </is>
      </c>
      <c r="J57" s="5" t="inlineStr">
        <is>
          <t>§2.2, §2.4</t>
        </is>
      </c>
      <c r="K57" s="5" t="inlineStr">
        <is>
          <t>BACK</t>
        </is>
      </c>
      <c r="L57" s="5" t="inlineStr">
        <is>
          <t>Must</t>
        </is>
      </c>
      <c r="M57" s="5" t="n">
        <v>5</v>
      </c>
      <c r="N57" s="5" t="inlineStr">
        <is>
          <t>L1-01</t>
        </is>
      </c>
      <c r="O57" s="5" t="inlineStr">
        <is>
          <t>À faire</t>
        </is>
      </c>
      <c r="P57" s="5" t="inlineStr"/>
    </row>
    <row r="58">
      <c r="A58" s="5" t="inlineStr">
        <is>
          <t>L1-18</t>
        </is>
      </c>
      <c r="B58" s="5" t="inlineStr">
        <is>
          <t>L1</t>
        </is>
      </c>
      <c r="C58" s="5" t="inlineStr">
        <is>
          <t>E1.5</t>
        </is>
      </c>
      <c r="D58" s="5" t="inlineStr">
        <is>
          <t>Grille horaire &amp; indisponibilités</t>
        </is>
      </c>
      <c r="E58" s="5" t="inlineStr">
        <is>
          <t>Story</t>
        </is>
      </c>
      <c r="F58" s="5" t="inlineStr">
        <is>
          <t>Générateur de grille horaire par semestre</t>
        </is>
      </c>
      <c r="G58" s="5" t="inlineStr">
        <is>
          <t>POST /semestres/{id}/creneaux/generate : jours ouvrés, heures de début et de fin par jour, pauses.</t>
        </is>
      </c>
      <c r="H58" s="5" t="inlineStr">
        <is>
          <t>- Entrée par jour : heures de début et de fin (multiples de 30 minutes) et pauses
- Génération déterministe de créneaux consécutifs, pauses marquées
- dryRun retourne le décompte par jour sans écriture
- 409 SLOT_IN_USE si des séances référencent un créneau qui disparaîtrait
- Paramètres conservés dans Semestre.grilleParams</t>
        </is>
      </c>
      <c r="I58" s="5" t="inlineStr">
        <is>
          <t>EX-CAL-02, EX-CAL-03</t>
        </is>
      </c>
      <c r="J58" s="5" t="inlineStr">
        <is>
          <t>§4.10</t>
        </is>
      </c>
      <c r="K58" s="5" t="inlineStr">
        <is>
          <t>BACK</t>
        </is>
      </c>
      <c r="L58" s="5" t="inlineStr">
        <is>
          <t>Must</t>
        </is>
      </c>
      <c r="M58" s="5" t="n">
        <v>5</v>
      </c>
      <c r="N58" s="5" t="inlineStr">
        <is>
          <t>L1-17</t>
        </is>
      </c>
      <c r="O58" s="5" t="inlineStr">
        <is>
          <t>À faire</t>
        </is>
      </c>
      <c r="P58" s="5" t="inlineStr"/>
    </row>
    <row r="59">
      <c r="A59" s="5" t="inlineStr">
        <is>
          <t>L1-19</t>
        </is>
      </c>
      <c r="B59" s="5" t="inlineStr">
        <is>
          <t>L1</t>
        </is>
      </c>
      <c r="C59" s="5" t="inlineStr">
        <is>
          <t>E1.5</t>
        </is>
      </c>
      <c r="D59" s="5" t="inlineStr">
        <is>
          <t>Grille horaire &amp; indisponibilités</t>
        </is>
      </c>
      <c r="E59" s="5" t="inlineStr">
        <is>
          <t>Story</t>
        </is>
      </c>
      <c r="F59" s="5" t="inlineStr">
        <is>
          <t>Duplication des créneaux depuis un autre semestre ou une autre année</t>
        </is>
      </c>
      <c r="G59" s="5" t="inlineStr">
        <is>
          <t>POST /creneaux/duplicate (action optionnelle).</t>
        </is>
      </c>
      <c r="H59" s="5" t="inlineStr">
        <is>
          <t>- Les créneaux ne sont jamais reconduits automatiquement
- La duplication ne copie ni contraintes ni indisponibilités
- Refusée si la cible contient déjà des créneaux, sauf option « remplacer » sans séance</t>
        </is>
      </c>
      <c r="I59" s="5" t="inlineStr">
        <is>
          <t>EX-CAL-03</t>
        </is>
      </c>
      <c r="J59" s="5" t="inlineStr">
        <is>
          <t>§4.10</t>
        </is>
      </c>
      <c r="K59" s="5" t="inlineStr">
        <is>
          <t>BACK</t>
        </is>
      </c>
      <c r="L59" s="5" t="inlineStr">
        <is>
          <t>Should</t>
        </is>
      </c>
      <c r="M59" s="5" t="n">
        <v>2</v>
      </c>
      <c r="N59" s="5" t="inlineStr">
        <is>
          <t>L1-17</t>
        </is>
      </c>
      <c r="O59" s="5" t="inlineStr">
        <is>
          <t>À faire</t>
        </is>
      </c>
      <c r="P59" s="5" t="inlineStr"/>
    </row>
    <row r="60">
      <c r="A60" s="5" t="inlineStr">
        <is>
          <t>L1-20</t>
        </is>
      </c>
      <c r="B60" s="5" t="inlineStr">
        <is>
          <t>L1</t>
        </is>
      </c>
      <c r="C60" s="5" t="inlineStr">
        <is>
          <t>E1.5</t>
        </is>
      </c>
      <c r="D60" s="5" t="inlineStr">
        <is>
          <t>Grille horaire &amp; indisponibilités</t>
        </is>
      </c>
      <c r="E60" s="5" t="inlineStr">
        <is>
          <t>Story</t>
        </is>
      </c>
      <c r="F60" s="5" t="inlineStr">
        <is>
          <t>CRUD indisponibilités enseignants et salles</t>
        </is>
      </c>
      <c r="G60" s="5" t="inlineStr">
        <is>
          <t>Indisponibilité absolue par jour et créneau, rattachée au semestre.</t>
        </is>
      </c>
      <c r="H60" s="5" t="inlineStr">
        <is>
          <t>- CHECK enseignant XOR salle
- Écriture par l'Administrateur et le Gestionnaire
- Un effet sur les versions en cours est déclenché en L3</t>
        </is>
      </c>
      <c r="I60" s="5" t="inlineStr">
        <is>
          <t>EX-REF-06</t>
        </is>
      </c>
      <c r="J60" s="5" t="inlineStr">
        <is>
          <t>§2.2, §2.4</t>
        </is>
      </c>
      <c r="K60" s="5" t="inlineStr">
        <is>
          <t>BACK</t>
        </is>
      </c>
      <c r="L60" s="5" t="inlineStr">
        <is>
          <t>Must</t>
        </is>
      </c>
      <c r="M60" s="5" t="n">
        <v>3</v>
      </c>
      <c r="N60" s="5" t="inlineStr">
        <is>
          <t>L1-17, L1-10, L1-13</t>
        </is>
      </c>
      <c r="O60" s="5" t="inlineStr">
        <is>
          <t>À faire</t>
        </is>
      </c>
      <c r="P60" s="5" t="inlineStr"/>
    </row>
    <row r="61">
      <c r="A61" s="5" t="inlineStr">
        <is>
          <t>L1-21</t>
        </is>
      </c>
      <c r="B61" s="5" t="inlineStr">
        <is>
          <t>L1</t>
        </is>
      </c>
      <c r="C61" s="5" t="inlineStr">
        <is>
          <t>E1.5</t>
        </is>
      </c>
      <c r="D61" s="5" t="inlineStr">
        <is>
          <t>Grille horaire &amp; indisponibilités</t>
        </is>
      </c>
      <c r="E61" s="5" t="inlineStr">
        <is>
          <t>Story</t>
        </is>
      </c>
      <c r="F61" s="5" t="inlineStr">
        <is>
          <t>UI grille horaire et indisponibilités</t>
        </is>
      </c>
      <c r="G61" s="5" t="inlineStr">
        <is>
          <t>Saisie des créneaux, pauses et indisponibilités en grille, via le générateur.</t>
        </is>
      </c>
      <c r="H61" s="5" t="inlineStr">
        <is>
          <t>- La grille affiche jours et créneaux ordonnés
- Sélection de plages multiples pour une indisponibilité
- Les heures de début et de fin par jour passent par le générateur</t>
        </is>
      </c>
      <c r="I61" s="5" t="inlineStr">
        <is>
          <t>EX-CAL-02, EX-REF-06</t>
        </is>
      </c>
      <c r="J61" s="5" t="inlineStr">
        <is>
          <t>§3.3</t>
        </is>
      </c>
      <c r="K61" s="5" t="inlineStr">
        <is>
          <t>FRONT</t>
        </is>
      </c>
      <c r="L61" s="5" t="inlineStr">
        <is>
          <t>Must</t>
        </is>
      </c>
      <c r="M61" s="5" t="n">
        <v>5</v>
      </c>
      <c r="N61" s="5" t="inlineStr">
        <is>
          <t>L1-20, L1-18, L0-29</t>
        </is>
      </c>
      <c r="O61" s="5" t="inlineStr">
        <is>
          <t>À faire</t>
        </is>
      </c>
      <c r="P61" s="5" t="inlineStr"/>
    </row>
    <row r="62">
      <c r="A62" s="5" t="inlineStr">
        <is>
          <t>L1-22</t>
        </is>
      </c>
      <c r="B62" s="5" t="inlineStr">
        <is>
          <t>L1</t>
        </is>
      </c>
      <c r="C62" s="5" t="inlineStr">
        <is>
          <t>E1.6</t>
        </is>
      </c>
      <c r="D62" s="5" t="inlineStr">
        <is>
          <t>Grille Ramadan</t>
        </is>
      </c>
      <c r="E62" s="5" t="inlineStr">
        <is>
          <t>Story</t>
        </is>
      </c>
      <c r="F62" s="5" t="inlineStr">
        <is>
          <t>Correspondance d'affichage Ramadan (modèle et API)</t>
        </is>
      </c>
      <c r="G62" s="5" t="inlineStr">
        <is>
          <t>CreneauAffichage par semestre : horaire Ramadan par créneau logique, durées libres.</t>
        </is>
      </c>
      <c r="H62" s="5" t="inlineStr">
        <is>
          <t>- Contrôles : ordre croissant, aucun chevauchement, pauses conservées
- Aucune contrainte de 30 minutes sur l'horaire affiché
- Les vues acceptent grille=NORMALE ou RAMADAN
- Aucun effet sur FET, les volumes ou les conflits</t>
        </is>
      </c>
      <c r="I62" s="5" t="inlineStr">
        <is>
          <t>EX-CAL-04</t>
        </is>
      </c>
      <c r="J62" s="5" t="inlineStr">
        <is>
          <t>§4.10, §2.2</t>
        </is>
      </c>
      <c r="K62" s="5" t="inlineStr">
        <is>
          <t>BACK</t>
        </is>
      </c>
      <c r="L62" s="5" t="inlineStr">
        <is>
          <t>Must</t>
        </is>
      </c>
      <c r="M62" s="5" t="n">
        <v>5</v>
      </c>
      <c r="N62" s="5" t="inlineStr">
        <is>
          <t>L1-17</t>
        </is>
      </c>
      <c r="O62" s="5" t="inlineStr">
        <is>
          <t>À faire</t>
        </is>
      </c>
      <c r="P62" s="5" t="inlineStr"/>
    </row>
    <row r="63">
      <c r="A63" s="5" t="inlineStr">
        <is>
          <t>L1-23</t>
        </is>
      </c>
      <c r="B63" s="5" t="inlineStr">
        <is>
          <t>L1</t>
        </is>
      </c>
      <c r="C63" s="5" t="inlineStr">
        <is>
          <t>E1.6</t>
        </is>
      </c>
      <c r="D63" s="5" t="inlineStr">
        <is>
          <t>Grille Ramadan</t>
        </is>
      </c>
      <c r="E63" s="5" t="inlineStr">
        <is>
          <t>Story</t>
        </is>
      </c>
      <c r="F63" s="5" t="inlineStr">
        <is>
          <t>UI de saisie et de duplication de la grille Ramadan</t>
        </is>
      </c>
      <c r="G63" s="5" t="inlineStr">
        <is>
          <t>Écran de correspondance par semestre, duplication depuis un autre semestre ou une autre année.</t>
        </is>
      </c>
      <c r="H63" s="5" t="inlineStr">
        <is>
          <t>- Saisie jour par jour des horaires Ramadan avec contrôles visibles
- Duplication idempotente
- Aperçu de la grille normale et de la grille Ramadan côte à côte</t>
        </is>
      </c>
      <c r="I63" s="5" t="inlineStr">
        <is>
          <t>EX-CAL-04</t>
        </is>
      </c>
      <c r="J63" s="5" t="inlineStr">
        <is>
          <t>§4.10</t>
        </is>
      </c>
      <c r="K63" s="5" t="inlineStr">
        <is>
          <t>FRONT</t>
        </is>
      </c>
      <c r="L63" s="5" t="inlineStr">
        <is>
          <t>Must</t>
        </is>
      </c>
      <c r="M63" s="5" t="n">
        <v>5</v>
      </c>
      <c r="N63" s="5" t="inlineStr">
        <is>
          <t>L1-22, L0-29</t>
        </is>
      </c>
      <c r="O63" s="5" t="inlineStr">
        <is>
          <t>À faire</t>
        </is>
      </c>
      <c r="P63" s="5" t="inlineStr"/>
    </row>
    <row r="64">
      <c r="A64" s="5" t="inlineStr">
        <is>
          <t>L1-24</t>
        </is>
      </c>
      <c r="B64" s="5" t="inlineStr">
        <is>
          <t>L1</t>
        </is>
      </c>
      <c r="C64" s="5" t="inlineStr">
        <is>
          <t>E1.7</t>
        </is>
      </c>
      <c r="D64" s="5" t="inlineStr">
        <is>
          <t>Import depuis une année clôturée</t>
        </is>
      </c>
      <c r="E64" s="5" t="inlineStr">
        <is>
          <t>Story</t>
        </is>
      </c>
      <c r="F64" s="5" t="inlineStr">
        <is>
          <t>Import depuis une année clôturée avec aperçu</t>
        </is>
      </c>
      <c r="G64" s="5" t="inlineStr">
        <is>
          <t>POST /annees/{id}/import : sélection par type de donnée, dryRun puis confirmation, idempotent par originId.</t>
        </is>
      </c>
      <c r="H64" s="5" t="inlineStr">
        <is>
          <t>- Aperçu obligatoire : ajouts, modifications, doublons, conflits, erreurs
- Application transactionnelle sur confirmation avec l'importId de l'aperçu
- Copie départements, formations, niveaux, groupes (parents d'abord), modules, salles, enseignants, et en option créneaux et grille Ramadan
- Relancer ne duplique rien
- Répartitions, séances, versions, contraintes, indisponibilités, charges non copiés
- Effectifs réinitialisables avec avertissement</t>
        </is>
      </c>
      <c r="I64" s="5" t="inlineStr">
        <is>
          <t>EX-IMP-02</t>
        </is>
      </c>
      <c r="J64" s="5" t="inlineStr">
        <is>
          <t>§4.9, §3.4.16</t>
        </is>
      </c>
      <c r="K64" s="5" t="inlineStr">
        <is>
          <t>BACK</t>
        </is>
      </c>
      <c r="L64" s="5" t="inlineStr">
        <is>
          <t>Must</t>
        </is>
      </c>
      <c r="M64" s="5" t="n">
        <v>8</v>
      </c>
      <c r="N64" s="5" t="inlineStr">
        <is>
          <t>L1-10, L1-15, L1-04, L1-22, L1-17</t>
        </is>
      </c>
      <c r="O64" s="5" t="inlineStr">
        <is>
          <t>À faire</t>
        </is>
      </c>
      <c r="P64" s="5" t="inlineStr"/>
    </row>
    <row r="65">
      <c r="A65" s="5" t="inlineStr">
        <is>
          <t>L1-25</t>
        </is>
      </c>
      <c r="B65" s="5" t="inlineStr">
        <is>
          <t>L1</t>
        </is>
      </c>
      <c r="C65" s="5" t="inlineStr">
        <is>
          <t>E1.7</t>
        </is>
      </c>
      <c r="D65" s="5" t="inlineStr">
        <is>
          <t>Import depuis une année clôturée</t>
        </is>
      </c>
      <c r="E65" s="5" t="inlineStr">
        <is>
          <t>Story</t>
        </is>
      </c>
      <c r="F65" s="5" t="inlineStr">
        <is>
          <t>UI import depuis une année clôturée</t>
        </is>
      </c>
      <c r="G65" s="5" t="inlineStr">
        <is>
          <t>Assistant de choix des types de données, aperçu détaillé, confirmation.</t>
        </is>
      </c>
      <c r="H65" s="5" t="inlineStr">
        <is>
          <t>- Le résumé des copies, conflits et avertissements est affiché avant confirmation
- L'opération est transactionnelle</t>
        </is>
      </c>
      <c r="I65" s="5" t="inlineStr">
        <is>
          <t>EX-IMP-02</t>
        </is>
      </c>
      <c r="J65" s="5" t="inlineStr">
        <is>
          <t>§3.4.16</t>
        </is>
      </c>
      <c r="K65" s="5" t="inlineStr">
        <is>
          <t>FRONT</t>
        </is>
      </c>
      <c r="L65" s="5" t="inlineStr">
        <is>
          <t>Should</t>
        </is>
      </c>
      <c r="M65" s="5" t="n">
        <v>3</v>
      </c>
      <c r="N65" s="5" t="inlineStr">
        <is>
          <t>L1-24, L0-29</t>
        </is>
      </c>
      <c r="O65" s="5" t="inlineStr">
        <is>
          <t>À faire</t>
        </is>
      </c>
      <c r="P65" s="5" t="inlineStr"/>
    </row>
    <row r="66">
      <c r="A66" s="5" t="inlineStr">
        <is>
          <t>L1-26</t>
        </is>
      </c>
      <c r="B66" s="5" t="inlineStr">
        <is>
          <t>L1</t>
        </is>
      </c>
      <c r="C66" s="5" t="inlineStr">
        <is>
          <t>E1.8</t>
        </is>
      </c>
      <c r="D66" s="5" t="inlineStr">
        <is>
          <t>Imports CSV/XLSX</t>
        </is>
      </c>
      <c r="E66" s="5" t="inlineStr">
        <is>
          <t>Story</t>
        </is>
      </c>
      <c r="F66" s="5" t="inlineStr">
        <is>
          <t>Import CSV/XLSX avec simulation et impact</t>
        </is>
      </c>
      <c r="G66" s="5" t="inlineStr">
        <is>
          <t>POST /imports/{entite}?dryRun=true pour enseignants, salles, groupes, modules ; analyse d'impact sur les répartitions validées.</t>
        </is>
      </c>
      <c r="H66" s="5" t="inlineStr">
        <is>
          <t>- Simulation obligatoire avant import réel
- Rapport ligne par ligne (ligne, colonne, valeur, erreur, cause, correction attendue) sans enregistrement partiel
- Contrôle de taille et de type réel (magic bytes), parseur isolé
- Groupes : colonne semestre obligatoire et code validé selon la nomenclature
- Une donnée utilisée dans une répartition validée déclenche une analyse d'impact avant application, sans modifier de validation</t>
        </is>
      </c>
      <c r="I66" s="5" t="inlineStr">
        <is>
          <t>EX-IMP-01, EX-IMP-03</t>
        </is>
      </c>
      <c r="J66" s="5" t="inlineStr">
        <is>
          <t>§4.9, §5.3</t>
        </is>
      </c>
      <c r="K66" s="5" t="inlineStr">
        <is>
          <t>BACK</t>
        </is>
      </c>
      <c r="L66" s="5" t="inlineStr">
        <is>
          <t>Should</t>
        </is>
      </c>
      <c r="M66" s="5" t="n">
        <v>8</v>
      </c>
      <c r="N66" s="5" t="inlineStr">
        <is>
          <t>L1-10, L1-13, L1-04, L1-05, L1-07</t>
        </is>
      </c>
      <c r="O66" s="5" t="inlineStr">
        <is>
          <t>À faire</t>
        </is>
      </c>
      <c r="P66" s="5" t="inlineStr"/>
    </row>
    <row r="67">
      <c r="A67" s="5" t="inlineStr">
        <is>
          <t>L1-27</t>
        </is>
      </c>
      <c r="B67" s="5" t="inlineStr">
        <is>
          <t>L1</t>
        </is>
      </c>
      <c r="C67" s="5" t="inlineStr">
        <is>
          <t>E1.8</t>
        </is>
      </c>
      <c r="D67" s="5" t="inlineStr">
        <is>
          <t>Imports CSV/XLSX</t>
        </is>
      </c>
      <c r="E67" s="5" t="inlineStr">
        <is>
          <t>Story</t>
        </is>
      </c>
      <c r="F67" s="5" t="inlineStr">
        <is>
          <t>UI import</t>
        </is>
      </c>
      <c r="G67" s="5" t="inlineStr">
        <is>
          <t>Dépôt de fichier, rapport d'erreurs, impacts, confirmation.</t>
        </is>
      </c>
      <c r="H67" s="5" t="inlineStr">
        <is>
          <t>- Le rapport de simulation est lisible avant confirmation
- Fichier invalide rejeté avec message explicite
- Les impacts sur les données validées sont affichés</t>
        </is>
      </c>
      <c r="I67" s="5" t="inlineStr">
        <is>
          <t>EX-IMP-01, EX-IMP-03</t>
        </is>
      </c>
      <c r="J67" s="5" t="inlineStr">
        <is>
          <t>§3.3</t>
        </is>
      </c>
      <c r="K67" s="5" t="inlineStr">
        <is>
          <t>FRONT</t>
        </is>
      </c>
      <c r="L67" s="5" t="inlineStr">
        <is>
          <t>Should</t>
        </is>
      </c>
      <c r="M67" s="5" t="n">
        <v>3</v>
      </c>
      <c r="N67" s="5" t="inlineStr">
        <is>
          <t>L1-26, L0-29</t>
        </is>
      </c>
      <c r="O67" s="5" t="inlineStr">
        <is>
          <t>À faire</t>
        </is>
      </c>
      <c r="P67" s="5" t="inlineStr"/>
    </row>
    <row r="68">
      <c r="A68" s="5" t="inlineStr">
        <is>
          <t>L2-01</t>
        </is>
      </c>
      <c r="B68" s="5" t="inlineStr">
        <is>
          <t>L2</t>
        </is>
      </c>
      <c r="C68" s="5" t="inlineStr">
        <is>
          <t>E2.1</t>
        </is>
      </c>
      <c r="D68" s="5" t="inlineStr">
        <is>
          <t>Volumes prévus (maquette)</t>
        </is>
      </c>
      <c r="E68" s="5" t="inlineStr">
        <is>
          <t>Story</t>
        </is>
      </c>
      <c r="F68" s="5" t="inlineStr">
        <is>
          <t>Volumes prévus par (module, type)</t>
        </is>
      </c>
      <c r="G68" s="5" t="inlineStr">
        <is>
          <t>CRUD /modules/{id}/volumes (ModuleVolume).</t>
        </is>
      </c>
      <c r="H68" s="5" t="inlineStr">
        <is>
          <t>- Unicité (module, type)
- Écriture par l'Administrateur et le Responsable de son département
- Volume en minutes multiple de 30</t>
        </is>
      </c>
      <c r="I68" s="5" t="inlineStr">
        <is>
          <t>EX-REF-01</t>
        </is>
      </c>
      <c r="J68" s="5" t="inlineStr">
        <is>
          <t>§2.2, §3.3</t>
        </is>
      </c>
      <c r="K68" s="5" t="inlineStr">
        <is>
          <t>BACK</t>
        </is>
      </c>
      <c r="L68" s="5" t="inlineStr">
        <is>
          <t>Must</t>
        </is>
      </c>
      <c r="M68" s="5" t="n">
        <v>3</v>
      </c>
      <c r="N68" s="5" t="inlineStr">
        <is>
          <t>L1-05, L1-17</t>
        </is>
      </c>
      <c r="O68" s="5" t="inlineStr">
        <is>
          <t>À faire</t>
        </is>
      </c>
      <c r="P68" s="5" t="inlineStr"/>
    </row>
    <row r="69">
      <c r="A69" s="5" t="inlineStr">
        <is>
          <t>L2-02</t>
        </is>
      </c>
      <c r="B69" s="5" t="inlineStr">
        <is>
          <t>L2</t>
        </is>
      </c>
      <c r="C69" s="5" t="inlineStr">
        <is>
          <t>E2.1</t>
        </is>
      </c>
      <c r="D69" s="5" t="inlineStr">
        <is>
          <t>Volumes prévus (maquette)</t>
        </is>
      </c>
      <c r="E69" s="5" t="inlineStr">
        <is>
          <t>Story</t>
        </is>
      </c>
      <c r="F69" s="5" t="inlineStr">
        <is>
          <t>UI maquette pédagogique</t>
        </is>
      </c>
      <c r="G69" s="5" t="inlineStr">
        <is>
          <t>Saisie des volumes par module et type, import possible.</t>
        </is>
      </c>
      <c r="H69" s="5" t="inlineStr">
        <is>
          <t>- Tableau éditable par niveau
- Les volumes non multiples de 30 minutes sont signalés</t>
        </is>
      </c>
      <c r="I69" s="5" t="inlineStr">
        <is>
          <t>EX-REF-01</t>
        </is>
      </c>
      <c r="J69" s="5" t="inlineStr">
        <is>
          <t>§3.3</t>
        </is>
      </c>
      <c r="K69" s="5" t="inlineStr">
        <is>
          <t>FRONT</t>
        </is>
      </c>
      <c r="L69" s="5" t="inlineStr">
        <is>
          <t>Must</t>
        </is>
      </c>
      <c r="M69" s="5" t="n">
        <v>3</v>
      </c>
      <c r="N69" s="5" t="inlineStr">
        <is>
          <t>L2-01, L0-29</t>
        </is>
      </c>
      <c r="O69" s="5" t="inlineStr">
        <is>
          <t>À faire</t>
        </is>
      </c>
      <c r="P69" s="5" t="inlineStr"/>
    </row>
    <row r="70">
      <c r="A70" s="5" t="inlineStr">
        <is>
          <t>L2-03</t>
        </is>
      </c>
      <c r="B70" s="5" t="inlineStr">
        <is>
          <t>L2</t>
        </is>
      </c>
      <c r="C70" s="5" t="inlineStr">
        <is>
          <t>E2.2</t>
        </is>
      </c>
      <c r="D70" s="5" t="inlineStr">
        <is>
          <t>Charge paramétrable</t>
        </is>
      </c>
      <c r="E70" s="5" t="inlineStr">
        <is>
          <t>Story</t>
        </is>
      </c>
      <c r="F70" s="5" t="inlineStr">
        <is>
          <t>Jeux de règles de charge et publication immuable</t>
        </is>
      </c>
      <c r="G70" s="5" t="inlineStr">
        <is>
          <t>ChargeRuleSet, ChargeReferenceGrade, ChargeCoefficient (grade facultatif), publication.</t>
        </is>
      </c>
      <c r="H70" s="5" t="inlineStr">
        <is>
          <t>- Un jeu publié est immuable (trigger CHARGE_RULESET_PUBLISHED, 423)
- Modifier un jeu publié impose d'en créer un nouveau (numéro +1)
- Période HEBDOMADAIRE, SEMESTRIELLE ou ANNUELLE, seuil, plafond et arrondi paramétrables
- Un coefficient propre à un grade prime sur le coefficient du type</t>
        </is>
      </c>
      <c r="I70" s="5" t="inlineStr">
        <is>
          <t>EX-CHG-01</t>
        </is>
      </c>
      <c r="J70" s="5" t="inlineStr">
        <is>
          <t>§2.2, §2.4, §4.2</t>
        </is>
      </c>
      <c r="K70" s="5" t="inlineStr">
        <is>
          <t>BACK</t>
        </is>
      </c>
      <c r="L70" s="5" t="inlineStr">
        <is>
          <t>Must</t>
        </is>
      </c>
      <c r="M70" s="5" t="n">
        <v>8</v>
      </c>
      <c r="N70" s="5" t="inlineStr">
        <is>
          <t>L1-05, L0-23</t>
        </is>
      </c>
      <c r="O70" s="5" t="inlineStr">
        <is>
          <t>À faire</t>
        </is>
      </c>
      <c r="P70" s="5" t="inlineStr"/>
    </row>
    <row r="71">
      <c r="A71" s="5" t="inlineStr">
        <is>
          <t>L2-04</t>
        </is>
      </c>
      <c r="B71" s="5" t="inlineStr">
        <is>
          <t>L2</t>
        </is>
      </c>
      <c r="C71" s="5" t="inlineStr">
        <is>
          <t>E2.2</t>
        </is>
      </c>
      <c r="D71" s="5" t="inlineStr">
        <is>
          <t>Charge paramétrable</t>
        </is>
      </c>
      <c r="E71" s="5" t="inlineStr">
        <is>
          <t>Story</t>
        </is>
      </c>
      <c r="F71" s="5" t="inlineStr">
        <is>
          <t>Moteur de calcul de la charge (charge-engine)</t>
        </is>
      </c>
      <c r="G71" s="5" t="inlineStr">
        <is>
          <t>Fonction pure calculerCharge en Decimal : volume brut, charge calculée, charge de référence, service dû, écart, heures supplémentaires.</t>
        </is>
      </c>
      <c r="H71" s="5" t="inlineStr">
        <is>
          <t>- Coefficient ou charge manquants lèvent ConfigurationError explicite
- Un CM commun compte une seule fois pour l'enseignant (test dédié)
- Écart = charge calculée − service dû ; heures sup, seuil et plafond conformes à ST §4.2
- Tests par propriété et cas limites (période annuelle partielle)
- Détail par activité : type, volume, coefficient, contribution</t>
        </is>
      </c>
      <c r="I71" s="5" t="inlineStr">
        <is>
          <t>EX-CHG-02, EX-CHG-05, EX-ACT-03</t>
        </is>
      </c>
      <c r="J71" s="5" t="inlineStr">
        <is>
          <t>§4.2</t>
        </is>
      </c>
      <c r="K71" s="5" t="inlineStr">
        <is>
          <t>BACK</t>
        </is>
      </c>
      <c r="L71" s="5" t="inlineStr">
        <is>
          <t>Must</t>
        </is>
      </c>
      <c r="M71" s="5" t="n">
        <v>8</v>
      </c>
      <c r="N71" s="5" t="inlineStr">
        <is>
          <t>L0-03</t>
        </is>
      </c>
      <c r="O71" s="5" t="inlineStr">
        <is>
          <t>À faire</t>
        </is>
      </c>
      <c r="P71" s="5" t="inlineStr"/>
    </row>
    <row r="72">
      <c r="A72" s="5" t="inlineStr">
        <is>
          <t>L2-05</t>
        </is>
      </c>
      <c r="B72" s="5" t="inlineStr">
        <is>
          <t>L2</t>
        </is>
      </c>
      <c r="C72" s="5" t="inlineStr">
        <is>
          <t>E2.2</t>
        </is>
      </c>
      <c r="D72" s="5" t="inlineStr">
        <is>
          <t>Charge paramétrable</t>
        </is>
      </c>
      <c r="E72" s="5" t="inlineStr">
        <is>
          <t>Story</t>
        </is>
      </c>
      <c r="F72" s="5" t="inlineStr">
        <is>
          <t>UI paramétrage de la charge</t>
        </is>
      </c>
      <c r="G72" s="5" t="inlineStr">
        <is>
          <t>Édition d'un jeu de règles, publication, création du suivant, affectation à l'année.</t>
        </is>
      </c>
      <c r="H72" s="5" t="inlineStr">
        <is>
          <t>- Édition impossible après publication
- Affectation du jeu à l'année (garde d'activation)
- Vocabulaire « charge » partout, aucun « DU »</t>
        </is>
      </c>
      <c r="I72" s="5" t="inlineStr">
        <is>
          <t>EX-CHG-01</t>
        </is>
      </c>
      <c r="J72" s="5" t="inlineStr">
        <is>
          <t>§4.2</t>
        </is>
      </c>
      <c r="K72" s="5" t="inlineStr">
        <is>
          <t>FRONT</t>
        </is>
      </c>
      <c r="L72" s="5" t="inlineStr">
        <is>
          <t>Must</t>
        </is>
      </c>
      <c r="M72" s="5" t="n">
        <v>5</v>
      </c>
      <c r="N72" s="5" t="inlineStr">
        <is>
          <t>L2-03, L0-29</t>
        </is>
      </c>
      <c r="O72" s="5" t="inlineStr">
        <is>
          <t>À faire</t>
        </is>
      </c>
      <c r="P72" s="5" t="inlineStr"/>
    </row>
    <row r="73">
      <c r="A73" s="5" t="inlineStr">
        <is>
          <t>L2-06</t>
        </is>
      </c>
      <c r="B73" s="5" t="inlineStr">
        <is>
          <t>L2</t>
        </is>
      </c>
      <c r="C73" s="5" t="inlineStr">
        <is>
          <t>E2.3</t>
        </is>
      </c>
      <c r="D73" s="5" t="inlineStr">
        <is>
          <t>Saisie de la répartition</t>
        </is>
      </c>
      <c r="E73" s="5" t="inlineStr">
        <is>
          <t>Story</t>
        </is>
      </c>
      <c r="F73" s="5" t="inlineStr">
        <is>
          <t>Répartitions par département et semestre</t>
        </is>
      </c>
      <c r="G73" s="5" t="inlineStr">
        <is>
          <t>Une répartition par (semestre, département), statuts BROUILLON, VALIDEE, ROUVERTE.</t>
        </is>
      </c>
      <c r="H73" s="5" t="inlineStr">
        <is>
          <t>- Création automatique à l'ouverture du semestre
- Consultation par Administrateur, Gestionnaire, Direction (lecture) et Responsable
- Toutes les routes du contrôleur de répartitions sont protégées par @Permissions('repartition:read')/@Permissions('repartition:write')/@Permissions('repartition:validate') ; toute route non décorée est refusée par défaut (403)
- ScopeGuard renvoie 404 pour une répartition hors du département du Responsable (pas de révélation d'existence)</t>
        </is>
      </c>
      <c r="I73" s="5" t="inlineStr">
        <is>
          <t>EX-REP-01</t>
        </is>
      </c>
      <c r="J73" s="5" t="inlineStr">
        <is>
          <t>§4.1.2, §3.3</t>
        </is>
      </c>
      <c r="K73" s="5" t="inlineStr">
        <is>
          <t>BACK</t>
        </is>
      </c>
      <c r="L73" s="5" t="inlineStr">
        <is>
          <t>Must</t>
        </is>
      </c>
      <c r="M73" s="5" t="n">
        <v>3</v>
      </c>
      <c r="N73" s="5" t="inlineStr">
        <is>
          <t>L1-01, L0-19</t>
        </is>
      </c>
      <c r="O73" s="5" t="inlineStr">
        <is>
          <t>À faire</t>
        </is>
      </c>
      <c r="P73" s="5" t="inlineStr"/>
    </row>
    <row r="74">
      <c r="A74" s="5" t="inlineStr">
        <is>
          <t>L2-07</t>
        </is>
      </c>
      <c r="B74" s="5" t="inlineStr">
        <is>
          <t>L2</t>
        </is>
      </c>
      <c r="C74" s="5" t="inlineStr">
        <is>
          <t>E2.3</t>
        </is>
      </c>
      <c r="D74" s="5" t="inlineStr">
        <is>
          <t>Saisie de la répartition</t>
        </is>
      </c>
      <c r="E74" s="5" t="inlineStr">
        <is>
          <t>Story</t>
        </is>
      </c>
      <c r="F74" s="5" t="inlineStr">
        <is>
          <t>CRUD affectations</t>
        </is>
      </c>
      <c r="G74" s="5" t="inlineStr">
        <is>
          <t>POST/PATCH/DELETE /repartitions/{id}/affectations ; activité à un seul enseignant, séances par semaine, durée contiguë, CM commun, Activity Tag facultatif.</t>
        </is>
      </c>
      <c r="H74" s="5" t="inlineStr">
        <is>
          <t>- volumeHebdoMinutes calculé par le serveur
- 403 OUT_OF_SCOPE hors département (sauf Administrateur), 409 sur doublon, 422 si enseignant inactif ou module hors niveau
- Un seul enseignant par activité ; durée multiple de 30 minutes
- Le tag par défaut du type s'applique si le tag n'est pas fixé
- workingRevision incrémenté à chaque modification
- Le Gestionnaire ne peut pas écrire</t>
        </is>
      </c>
      <c r="I74" s="5" t="inlineStr">
        <is>
          <t>EX-REP-01, EX-ACT-01, EX-ACT-02, EX-ACT-03, EX-ROL-03</t>
        </is>
      </c>
      <c r="J74" s="5" t="inlineStr">
        <is>
          <t>§3.4.2, §0.3</t>
        </is>
      </c>
      <c r="K74" s="5" t="inlineStr">
        <is>
          <t>BACK</t>
        </is>
      </c>
      <c r="L74" s="5" t="inlineStr">
        <is>
          <t>Must</t>
        </is>
      </c>
      <c r="M74" s="5" t="n">
        <v>8</v>
      </c>
      <c r="N74" s="5" t="inlineStr">
        <is>
          <t>L2-06, L1-10, L2-01, L2-04, L1-06</t>
        </is>
      </c>
      <c r="O74" s="5" t="inlineStr">
        <is>
          <t>À faire</t>
        </is>
      </c>
      <c r="P74" s="5" t="inlineStr"/>
    </row>
    <row r="75">
      <c r="A75" s="5" t="inlineStr">
        <is>
          <t>L2-08</t>
        </is>
      </c>
      <c r="B75" s="5" t="inlineStr">
        <is>
          <t>L2</t>
        </is>
      </c>
      <c r="C75" s="5" t="inlineStr">
        <is>
          <t>E2.3</t>
        </is>
      </c>
      <c r="D75" s="5" t="inlineStr">
        <is>
          <t>Saisie de la répartition</t>
        </is>
      </c>
      <c r="E75" s="5" t="inlineStr">
        <is>
          <t>Story</t>
        </is>
      </c>
      <c r="F75" s="5" t="inlineStr">
        <is>
          <t>UI saisie de la répartition</t>
        </is>
      </c>
      <c r="G75" s="5" t="inlineStr">
        <is>
          <t>Tableau par groupe, module et type avec charges visibles en temps réel.</t>
        </is>
      </c>
      <c r="H75" s="5" t="inlineStr">
        <is>
          <t>- Ajout d'une affectation met à jour la charge de l'enseignant
- Les écarts de volume sont visibles pendant la saisie
- Le Responsable fixe l'Activity Tag d'une affectation</t>
        </is>
      </c>
      <c r="I75" s="5" t="inlineStr">
        <is>
          <t>EX-REP-01, EX-CHG-03</t>
        </is>
      </c>
      <c r="J75" s="5" t="inlineStr">
        <is>
          <t>§4.2</t>
        </is>
      </c>
      <c r="K75" s="5" t="inlineStr">
        <is>
          <t>FRONT</t>
        </is>
      </c>
      <c r="L75" s="5" t="inlineStr">
        <is>
          <t>Must</t>
        </is>
      </c>
      <c r="M75" s="5" t="n">
        <v>8</v>
      </c>
      <c r="N75" s="5" t="inlineStr">
        <is>
          <t>L2-07, L0-29</t>
        </is>
      </c>
      <c r="O75" s="5" t="inlineStr">
        <is>
          <t>À faire</t>
        </is>
      </c>
      <c r="P75" s="5" t="inlineStr"/>
    </row>
    <row r="76">
      <c r="A76" s="5" t="inlineStr">
        <is>
          <t>L2-09</t>
        </is>
      </c>
      <c r="B76" s="5" t="inlineStr">
        <is>
          <t>L2</t>
        </is>
      </c>
      <c r="C76" s="5" t="inlineStr">
        <is>
          <t>E2.3</t>
        </is>
      </c>
      <c r="D76" s="5" t="inlineStr">
        <is>
          <t>Saisie de la répartition</t>
        </is>
      </c>
      <c r="E76" s="5" t="inlineStr">
        <is>
          <t>Story</t>
        </is>
      </c>
      <c r="F76" s="5" t="inlineStr">
        <is>
          <t>Contrôles de cohérence des volumes</t>
        </is>
      </c>
      <c r="G76" s="5" t="inlineStr">
        <is>
          <t>GET /repartitions/{id}/controles.</t>
        </is>
      </c>
      <c r="H76" s="5" t="inlineStr">
        <is>
          <t>- Écart par (groupe, module, type) = volume attendu − somme des affectations
- Écarts négatifs « non couvert », positifs « excédent »</t>
        </is>
      </c>
      <c r="I76" s="5" t="inlineStr">
        <is>
          <t>EX-REP-02</t>
        </is>
      </c>
      <c r="J76" s="5" t="inlineStr">
        <is>
          <t>§4.2</t>
        </is>
      </c>
      <c r="K76" s="5" t="inlineStr">
        <is>
          <t>BACK</t>
        </is>
      </c>
      <c r="L76" s="5" t="inlineStr">
        <is>
          <t>Must</t>
        </is>
      </c>
      <c r="M76" s="5" t="n">
        <v>5</v>
      </c>
      <c r="N76" s="5" t="inlineStr">
        <is>
          <t>L2-07</t>
        </is>
      </c>
      <c r="O76" s="5" t="inlineStr">
        <is>
          <t>À faire</t>
        </is>
      </c>
      <c r="P76" s="5" t="inlineStr"/>
    </row>
    <row r="77">
      <c r="A77" s="5" t="inlineStr">
        <is>
          <t>L2-10</t>
        </is>
      </c>
      <c r="B77" s="5" t="inlineStr">
        <is>
          <t>L2</t>
        </is>
      </c>
      <c r="C77" s="5" t="inlineStr">
        <is>
          <t>E2.4</t>
        </is>
      </c>
      <c r="D77" s="5" t="inlineStr">
        <is>
          <t>Charges</t>
        </is>
      </c>
      <c r="E77" s="5" t="inlineStr">
        <is>
          <t>Story</t>
        </is>
      </c>
      <c r="F77" s="5" t="inlineStr">
        <is>
          <t>API des charges et agrégations</t>
        </is>
      </c>
      <c r="G77" s="5" t="inlineStr">
        <is>
          <t>GET /charges par enseignant, département, formation, module, groupe, type.</t>
        </is>
      </c>
      <c r="H77" s="5" t="inlineStr">
        <is>
          <t>- Volumes bruts et pondérés retournés
- Calcul partiel signalé si un semestre n'a pas de répartition validée
- Temps de calcul d'un département &lt; 500 ms</t>
        </is>
      </c>
      <c r="I77" s="5" t="inlineStr">
        <is>
          <t>EX-CHG-03</t>
        </is>
      </c>
      <c r="J77" s="5" t="inlineStr">
        <is>
          <t>§4.2, §5.4</t>
        </is>
      </c>
      <c r="K77" s="5" t="inlineStr">
        <is>
          <t>BACK</t>
        </is>
      </c>
      <c r="L77" s="5" t="inlineStr">
        <is>
          <t>Must</t>
        </is>
      </c>
      <c r="M77" s="5" t="n">
        <v>5</v>
      </c>
      <c r="N77" s="5" t="inlineStr">
        <is>
          <t>L2-07</t>
        </is>
      </c>
      <c r="O77" s="5" t="inlineStr">
        <is>
          <t>À faire</t>
        </is>
      </c>
      <c r="P77" s="5" t="inlineStr"/>
    </row>
    <row r="78">
      <c r="A78" s="5" t="inlineStr">
        <is>
          <t>L2-11</t>
        </is>
      </c>
      <c r="B78" s="5" t="inlineStr">
        <is>
          <t>L2</t>
        </is>
      </c>
      <c r="C78" s="5" t="inlineStr">
        <is>
          <t>E2.4</t>
        </is>
      </c>
      <c r="D78" s="5" t="inlineStr">
        <is>
          <t>Charges</t>
        </is>
      </c>
      <c r="E78" s="5" t="inlineStr">
        <is>
          <t>Story</t>
        </is>
      </c>
      <c r="F78" s="5" t="inlineStr">
        <is>
          <t>UI tableau de bord des charges</t>
        </is>
      </c>
      <c r="G78" s="5" t="inlineStr">
        <is>
          <t>Charge de référence, service dû, écart, heures supplémentaires, dépassement de plafond.</t>
        </is>
      </c>
      <c r="H78" s="5" t="inlineStr">
        <is>
          <t>- Dépassement de plafond mis en évidence
- Filtres département et enseignant
- Libellés : dépassement de X h ou reste X h à affecter</t>
        </is>
      </c>
      <c r="I78" s="5" t="inlineStr">
        <is>
          <t>EX-CHG-03</t>
        </is>
      </c>
      <c r="J78" s="5" t="inlineStr">
        <is>
          <t>§4.2</t>
        </is>
      </c>
      <c r="K78" s="5" t="inlineStr">
        <is>
          <t>FRONT</t>
        </is>
      </c>
      <c r="L78" s="5" t="inlineStr">
        <is>
          <t>Must</t>
        </is>
      </c>
      <c r="M78" s="5" t="n">
        <v>5</v>
      </c>
      <c r="N78" s="5" t="inlineStr">
        <is>
          <t>L2-10, L0-29</t>
        </is>
      </c>
      <c r="O78" s="5" t="inlineStr">
        <is>
          <t>À faire</t>
        </is>
      </c>
      <c r="P78" s="5" t="inlineStr"/>
    </row>
    <row r="79">
      <c r="A79" s="5" t="inlineStr">
        <is>
          <t>L2-12</t>
        </is>
      </c>
      <c r="B79" s="5" t="inlineStr">
        <is>
          <t>L2</t>
        </is>
      </c>
      <c r="C79" s="5" t="inlineStr">
        <is>
          <t>E2.5</t>
        </is>
      </c>
      <c r="D79" s="5" t="inlineStr">
        <is>
          <t>Validation &amp; snapshots</t>
        </is>
      </c>
      <c r="E79" s="5" t="inlineStr">
        <is>
          <t>Story</t>
        </is>
      </c>
      <c r="F79" s="5" t="inlineStr">
        <is>
          <t>Validation de la répartition et snapshot</t>
        </is>
      </c>
      <c r="G79" s="5" t="inlineStr">
        <is>
          <t>POST /repartitions/{id}/validate ; validation par le Responsable ou par l'Administrateur pour un département.</t>
        </is>
      </c>
      <c r="H79" s="5" t="inlineStr">
        <is>
          <t>- Refusée (422 REPARTITION_INVALID) tant qu'il reste un écart de volume, avec le détail
- Création d'un snapshot immuable (affectations, tag résolu, charges, jeu de règles, hash)
- Triggers append-only sur SnapshotAffectation et SnapshotCharge
- SnapshotCharge conserve volume brut, charge calculée, charge de référence, décharges, service dû, écart, heures sup
- Validation par l'Administrateur tracée (parAdministrateur) avec notification au Responsable (L5)
- La route POST /repartitions/{id}/validate est protégée par @Permissions('repartition:validate') (Responsable de département ou Administrateur uniquement)
- ImmutabilityGuard s'applique : une fois validé, le snapshot ne peut plus être modifié, y compris par l'Administrateur</t>
        </is>
      </c>
      <c r="I79" s="5" t="inlineStr">
        <is>
          <t>EX-REP-03, EX-ROL-06, EX-CHG-05</t>
        </is>
      </c>
      <c r="J79" s="5" t="inlineStr">
        <is>
          <t>§3.4.3, §4.1.2</t>
        </is>
      </c>
      <c r="K79" s="5" t="inlineStr">
        <is>
          <t>BACK</t>
        </is>
      </c>
      <c r="L79" s="5" t="inlineStr">
        <is>
          <t>Must</t>
        </is>
      </c>
      <c r="M79" s="5" t="n">
        <v>8</v>
      </c>
      <c r="N79" s="5" t="inlineStr">
        <is>
          <t>L2-09, L2-10, L2-03, L0-22</t>
        </is>
      </c>
      <c r="O79" s="5" t="inlineStr">
        <is>
          <t>À faire</t>
        </is>
      </c>
      <c r="P79" s="5" t="inlineStr"/>
    </row>
    <row r="80">
      <c r="A80" s="5" t="inlineStr">
        <is>
          <t>L2-13</t>
        </is>
      </c>
      <c r="B80" s="5" t="inlineStr">
        <is>
          <t>L2</t>
        </is>
      </c>
      <c r="C80" s="5" t="inlineStr">
        <is>
          <t>E2.5</t>
        </is>
      </c>
      <c r="D80" s="5" t="inlineStr">
        <is>
          <t>Validation &amp; snapshots</t>
        </is>
      </c>
      <c r="E80" s="5" t="inlineStr">
        <is>
          <t>Story</t>
        </is>
      </c>
      <c r="F80" s="5" t="inlineStr">
        <is>
          <t>Réouverture et indicateur de divergence</t>
        </is>
      </c>
      <c r="G80" s="5" t="inlineStr">
        <is>
          <t>POST /repartitions/{id}/reopen.</t>
        </is>
      </c>
      <c r="H80" s="5" t="inlineStr">
        <is>
          <t>- Réouverture sans effet sur les versions existantes
- La divergence est calculée selon ST §4.1.2
- Résumé de comparaison entre deux snapshots (ajoutées, supprimées, modifiées, enseignants multi-départements)</t>
        </is>
      </c>
      <c r="I80" s="5" t="inlineStr">
        <is>
          <t>EX-REP-04</t>
        </is>
      </c>
      <c r="J80" s="5" t="inlineStr">
        <is>
          <t>§4.1.2, §3.4.3</t>
        </is>
      </c>
      <c r="K80" s="5" t="inlineStr">
        <is>
          <t>BACK</t>
        </is>
      </c>
      <c r="L80" s="5" t="inlineStr">
        <is>
          <t>Must</t>
        </is>
      </c>
      <c r="M80" s="5" t="n">
        <v>3</v>
      </c>
      <c r="N80" s="5" t="inlineStr">
        <is>
          <t>L2-12</t>
        </is>
      </c>
      <c r="O80" s="5" t="inlineStr">
        <is>
          <t>À faire</t>
        </is>
      </c>
      <c r="P80" s="5" t="inlineStr"/>
    </row>
    <row r="81">
      <c r="A81" s="5" t="inlineStr">
        <is>
          <t>L2-14</t>
        </is>
      </c>
      <c r="B81" s="5" t="inlineStr">
        <is>
          <t>L2</t>
        </is>
      </c>
      <c r="C81" s="5" t="inlineStr">
        <is>
          <t>E2.5</t>
        </is>
      </c>
      <c r="D81" s="5" t="inlineStr">
        <is>
          <t>Validation &amp; snapshots</t>
        </is>
      </c>
      <c r="E81" s="5" t="inlineStr">
        <is>
          <t>Story</t>
        </is>
      </c>
      <c r="F81" s="5" t="inlineStr">
        <is>
          <t>Historique et consultation des snapshots</t>
        </is>
      </c>
      <c r="G81" s="5" t="inlineStr">
        <is>
          <t>API et écran de consultation en lecture seule.</t>
        </is>
      </c>
      <c r="H81" s="5" t="inlineStr">
        <is>
          <t>- Liste des révisions avec auteur, date et mention éventuelle « validé par l'Administrateur »
- Consultation d'un snapshot en lecture seule</t>
        </is>
      </c>
      <c r="I81" s="5" t="inlineStr">
        <is>
          <t>EX-REP-03</t>
        </is>
      </c>
      <c r="J81" s="5" t="inlineStr">
        <is>
          <t>§3.3</t>
        </is>
      </c>
      <c r="K81" s="5" t="inlineStr">
        <is>
          <t>FULL</t>
        </is>
      </c>
      <c r="L81" s="5" t="inlineStr">
        <is>
          <t>Should</t>
        </is>
      </c>
      <c r="M81" s="5" t="n">
        <v>3</v>
      </c>
      <c r="N81" s="5" t="inlineStr">
        <is>
          <t>L2-12, L0-29</t>
        </is>
      </c>
      <c r="O81" s="5" t="inlineStr">
        <is>
          <t>À faire</t>
        </is>
      </c>
      <c r="P81" s="5" t="inlineStr"/>
    </row>
    <row r="82">
      <c r="A82" s="5" t="inlineStr">
        <is>
          <t>L2-15</t>
        </is>
      </c>
      <c r="B82" s="5" t="inlineStr">
        <is>
          <t>L2</t>
        </is>
      </c>
      <c r="C82" s="5" t="inlineStr">
        <is>
          <t>E2.6</t>
        </is>
      </c>
      <c r="D82" s="5" t="inlineStr">
        <is>
          <t>Demandes de modification</t>
        </is>
      </c>
      <c r="E82" s="5" t="inlineStr">
        <is>
          <t>Story</t>
        </is>
      </c>
      <c r="F82" s="5" t="inlineStr">
        <is>
          <t>Demandes de modification (API)</t>
        </is>
      </c>
      <c r="G82" s="5" t="inlineStr">
        <is>
          <t>Création par le Gestionnaire, traitement par le Responsable.</t>
        </is>
      </c>
      <c r="H82" s="5" t="inlineStr">
        <is>
          <t>- Statuts OUVERTE, TRAITEE, REFUSEE avec réponse
- Le Responsable ne voit que son département
- Demande liée à une affectation ou une séance</t>
        </is>
      </c>
      <c r="I82" s="5" t="inlineStr">
        <is>
          <t>EX-REP-05, EX-ROL-05</t>
        </is>
      </c>
      <c r="J82" s="5" t="inlineStr">
        <is>
          <t>§3.3</t>
        </is>
      </c>
      <c r="K82" s="5" t="inlineStr">
        <is>
          <t>BACK</t>
        </is>
      </c>
      <c r="L82" s="5" t="inlineStr">
        <is>
          <t>Must</t>
        </is>
      </c>
      <c r="M82" s="5" t="n">
        <v>5</v>
      </c>
      <c r="N82" s="5" t="inlineStr">
        <is>
          <t>L2-06</t>
        </is>
      </c>
      <c r="O82" s="5" t="inlineStr">
        <is>
          <t>À faire</t>
        </is>
      </c>
      <c r="P82" s="5" t="inlineStr"/>
    </row>
    <row r="83">
      <c r="A83" s="5" t="inlineStr">
        <is>
          <t>L2-16</t>
        </is>
      </c>
      <c r="B83" s="5" t="inlineStr">
        <is>
          <t>L2</t>
        </is>
      </c>
      <c r="C83" s="5" t="inlineStr">
        <is>
          <t>E2.6</t>
        </is>
      </c>
      <c r="D83" s="5" t="inlineStr">
        <is>
          <t>Demandes de modification</t>
        </is>
      </c>
      <c r="E83" s="5" t="inlineStr">
        <is>
          <t>Story</t>
        </is>
      </c>
      <c r="F83" s="5" t="inlineStr">
        <is>
          <t>UI demandes de modification</t>
        </is>
      </c>
      <c r="G83" s="5" t="inlineStr">
        <is>
          <t>Création, suivi et traitement.</t>
        </is>
      </c>
      <c r="H83" s="5" t="inlineStr">
        <is>
          <t>- Le Gestionnaire crée une demande depuis une affectation
- Le Responsable la traite avec motif</t>
        </is>
      </c>
      <c r="I83" s="5" t="inlineStr">
        <is>
          <t>EX-REP-05</t>
        </is>
      </c>
      <c r="J83" s="5" t="inlineStr">
        <is>
          <t>§3.3</t>
        </is>
      </c>
      <c r="K83" s="5" t="inlineStr">
        <is>
          <t>FRONT</t>
        </is>
      </c>
      <c r="L83" s="5" t="inlineStr">
        <is>
          <t>Must</t>
        </is>
      </c>
      <c r="M83" s="5" t="n">
        <v>3</v>
      </c>
      <c r="N83" s="5" t="inlineStr">
        <is>
          <t>L2-15, L0-29</t>
        </is>
      </c>
      <c r="O83" s="5" t="inlineStr">
        <is>
          <t>À faire</t>
        </is>
      </c>
      <c r="P83" s="5" t="inlineStr"/>
    </row>
    <row r="84">
      <c r="A84" s="5" t="inlineStr">
        <is>
          <t>L2-17</t>
        </is>
      </c>
      <c r="B84" s="5" t="inlineStr">
        <is>
          <t>L2</t>
        </is>
      </c>
      <c r="C84" s="5" t="inlineStr">
        <is>
          <t>E2.7</t>
        </is>
      </c>
      <c r="D84" s="5" t="inlineStr">
        <is>
          <t>Vue annuelle des charges</t>
        </is>
      </c>
      <c r="E84" s="5" t="inlineStr">
        <is>
          <t>Story</t>
        </is>
      </c>
      <c r="F84" s="5" t="inlineStr">
        <is>
          <t>API de la vue annuelle des charges (S1 + S2)</t>
        </is>
      </c>
      <c r="G84" s="5" t="inlineStr">
        <is>
          <t>GET /charges/annuelles : cumul des deux semestres indépendant de la période du jeu de règles.</t>
        </is>
      </c>
      <c r="H84" s="5" t="inlineStr">
        <is>
          <t>- Par semestre : charge calculée et source (SNAPSHOT_VALIDE, COPIE_TRAVAIL, ABSENT)
- Heures supplémentaires calculées sur le cumul quand la période est ANNUELLE
- Indicateur de divergence si un semestre a été rouvert après validation
- Décharges des deux semestres additionnées
- Calcul en Decimal ; &lt; 500 ms par département</t>
        </is>
      </c>
      <c r="I84" s="5" t="inlineStr">
        <is>
          <t>EX-CHG-04</t>
        </is>
      </c>
      <c r="J84" s="5" t="inlineStr">
        <is>
          <t>§4.2</t>
        </is>
      </c>
      <c r="K84" s="5" t="inlineStr">
        <is>
          <t>BACK</t>
        </is>
      </c>
      <c r="L84" s="5" t="inlineStr">
        <is>
          <t>Must</t>
        </is>
      </c>
      <c r="M84" s="5" t="n">
        <v>5</v>
      </c>
      <c r="N84" s="5" t="inlineStr">
        <is>
          <t>L2-10</t>
        </is>
      </c>
      <c r="O84" s="5" t="inlineStr">
        <is>
          <t>À faire</t>
        </is>
      </c>
      <c r="P84" s="5" t="inlineStr"/>
    </row>
    <row r="85">
      <c r="A85" s="5" t="inlineStr">
        <is>
          <t>L2-18</t>
        </is>
      </c>
      <c r="B85" s="5" t="inlineStr">
        <is>
          <t>L2</t>
        </is>
      </c>
      <c r="C85" s="5" t="inlineStr">
        <is>
          <t>E2.7</t>
        </is>
      </c>
      <c r="D85" s="5" t="inlineStr">
        <is>
          <t>Vue annuelle des charges</t>
        </is>
      </c>
      <c r="E85" s="5" t="inlineStr">
        <is>
          <t>Story</t>
        </is>
      </c>
      <c r="F85" s="5" t="inlineStr">
        <is>
          <t>Charge globale d'un enseignant multi-départements</t>
        </is>
      </c>
      <c r="G85" s="5" t="inlineStr">
        <is>
          <t>GET /enseignants/{id}/charge-globale : total toutes affectations confondues, sans détail hors département.</t>
        </is>
      </c>
      <c r="H85" s="5" t="inlineStr">
        <is>
          <t>- Le Responsable voit la charge calculée par département pour un enseignant de sa répartition
- Aucun détail de module ou de groupe des autres départements n'est exposé
- Test RBAC : aucune fuite de détail hors portée
- Alerte de dépassement calculée sur le total</t>
        </is>
      </c>
      <c r="I85" s="5" t="inlineStr">
        <is>
          <t>EX-ROL-07</t>
        </is>
      </c>
      <c r="J85" s="5" t="inlineStr">
        <is>
          <t>§4.2, §5.2</t>
        </is>
      </c>
      <c r="K85" s="5" t="inlineStr">
        <is>
          <t>BACK</t>
        </is>
      </c>
      <c r="L85" s="5" t="inlineStr">
        <is>
          <t>Must</t>
        </is>
      </c>
      <c r="M85" s="5" t="n">
        <v>3</v>
      </c>
      <c r="N85" s="5" t="inlineStr">
        <is>
          <t>L2-17</t>
        </is>
      </c>
      <c r="O85" s="5" t="inlineStr">
        <is>
          <t>À faire</t>
        </is>
      </c>
      <c r="P85" s="5" t="inlineStr"/>
    </row>
    <row r="86">
      <c r="A86" s="5" t="inlineStr">
        <is>
          <t>L2-19</t>
        </is>
      </c>
      <c r="B86" s="5" t="inlineStr">
        <is>
          <t>L2</t>
        </is>
      </c>
      <c r="C86" s="5" t="inlineStr">
        <is>
          <t>E2.7</t>
        </is>
      </c>
      <c r="D86" s="5" t="inlineStr">
        <is>
          <t>Vue annuelle des charges</t>
        </is>
      </c>
      <c r="E86" s="5" t="inlineStr">
        <is>
          <t>Story</t>
        </is>
      </c>
      <c r="F86" s="5" t="inlineStr">
        <is>
          <t>UI vue annuelle des charges par enseignant</t>
        </is>
      </c>
      <c r="G86" s="5" t="inlineStr">
        <is>
          <t>Tableau S1, S2, total, service dû, écart, alertes, accessible depuis la saisie de la répartition.</t>
        </is>
      </c>
      <c r="H86" s="5" t="inlineStr">
        <is>
          <t>- Colonnes S1, S2, total, service dû, écart, heures supplémentaires
- La source de chaque semestre et la divergence sont visibles
- Le total multi-départements est affiché pour les enseignants concernés</t>
        </is>
      </c>
      <c r="I86" s="5" t="inlineStr">
        <is>
          <t>EX-CHG-04, EX-ROL-07</t>
        </is>
      </c>
      <c r="J86" s="5" t="inlineStr">
        <is>
          <t>§3.3</t>
        </is>
      </c>
      <c r="K86" s="5" t="inlineStr">
        <is>
          <t>FRONT</t>
        </is>
      </c>
      <c r="L86" s="5" t="inlineStr">
        <is>
          <t>Must</t>
        </is>
      </c>
      <c r="M86" s="5" t="n">
        <v>3</v>
      </c>
      <c r="N86" s="5" t="inlineStr">
        <is>
          <t>L2-17, L2-18, L0-29</t>
        </is>
      </c>
      <c r="O86" s="5" t="inlineStr">
        <is>
          <t>À faire</t>
        </is>
      </c>
      <c r="P86" s="5" t="inlineStr"/>
    </row>
    <row r="87">
      <c r="A87" s="5" t="inlineStr">
        <is>
          <t>L3-01</t>
        </is>
      </c>
      <c r="B87" s="5" t="inlineStr">
        <is>
          <t>L3</t>
        </is>
      </c>
      <c r="C87" s="5" t="inlineStr">
        <is>
          <t>E3.1</t>
        </is>
      </c>
      <c r="D87" s="5" t="inlineStr">
        <is>
          <t>Contraintes</t>
        </is>
      </c>
      <c r="E87" s="5" t="inlineStr">
        <is>
          <t>Story</t>
        </is>
      </c>
      <c r="F87" s="5" t="inlineStr">
        <is>
          <t>Catalogue de contraintes et règles centralisées</t>
        </is>
      </c>
      <c r="G87" s="5" t="inlineStr">
        <is>
          <t>ContrainteDefinition seedée (dures/souples, portée, fetSupport, message), moteur de règles unique alimentant génération, contrôles et édition.</t>
        </is>
      </c>
      <c r="H87" s="5" t="inlineStr">
        <is>
          <t>- Catalogue consultable par Administrateur, Gestionnaire et Direction
- Chaque définition expose un schéma de paramètres, une catégorie, un support FET et un message
- Une règle ajoutée au catalogue n'impose pas de modifier les écrans existants
- Les trois consommateurs (fichier FET, contrôles avant génération, édition) lisent la même définition</t>
        </is>
      </c>
      <c r="I87" s="5" t="inlineStr">
        <is>
          <t>EX-CTR-01, EX-PRI-06</t>
        </is>
      </c>
      <c r="J87" s="5" t="inlineStr">
        <is>
          <t>§2.2, §4.11</t>
        </is>
      </c>
      <c r="K87" s="5" t="inlineStr">
        <is>
          <t>BACK</t>
        </is>
      </c>
      <c r="L87" s="5" t="inlineStr">
        <is>
          <t>Must</t>
        </is>
      </c>
      <c r="M87" s="5" t="n">
        <v>5</v>
      </c>
      <c r="N87" s="5" t="inlineStr">
        <is>
          <t>L0-04</t>
        </is>
      </c>
      <c r="O87" s="5" t="inlineStr">
        <is>
          <t>À faire</t>
        </is>
      </c>
      <c r="P87" s="5" t="inlineStr"/>
    </row>
    <row r="88">
      <c r="A88" s="5" t="inlineStr">
        <is>
          <t>L3-02</t>
        </is>
      </c>
      <c r="B88" s="5" t="inlineStr">
        <is>
          <t>L3</t>
        </is>
      </c>
      <c r="C88" s="5" t="inlineStr">
        <is>
          <t>E3.1</t>
        </is>
      </c>
      <c r="D88" s="5" t="inlineStr">
        <is>
          <t>Contraintes</t>
        </is>
      </c>
      <c r="E88" s="5" t="inlineStr">
        <is>
          <t>Story</t>
        </is>
      </c>
      <c r="F88" s="5" t="inlineStr">
        <is>
          <t>Classification des règles et matrice de traduction</t>
        </is>
      </c>
      <c r="G88" s="5" t="inlineStr">
        <is>
          <t>Classement HARD_CONSTRAINT, SOFT_CONSTRAINT, BUSINESS_VALIDATION, INFORMATIONAL et FET_SUPPORTED, FET_TRANSFORMED, APPLICATION_ONLY ; matrice de traduction.</t>
        </is>
      </c>
      <c r="H88" s="5" t="inlineStr">
        <is>
          <t>- Chaque règle du catalogue porte sa classe et sa traduction technique
- La nature (règle ou préférence) est affichée partout
- Aucune règle APPLICATION_ONLY n'est présentée comme respectée par FET
- La matrice de traduction (identifiant, domaine, sévérité, type, entrée FET, contrôles pré/post-génération et édition, message, test, version) est générée depuis le catalogue</t>
        </is>
      </c>
      <c r="I88" s="5" t="inlineStr">
        <is>
          <t>EX-CTR-06, EX-PRI-02</t>
        </is>
      </c>
      <c r="J88" s="5" t="inlineStr">
        <is>
          <t>§4.3, §4.6.3</t>
        </is>
      </c>
      <c r="K88" s="5" t="inlineStr">
        <is>
          <t>BACK</t>
        </is>
      </c>
      <c r="L88" s="5" t="inlineStr">
        <is>
          <t>Must</t>
        </is>
      </c>
      <c r="M88" s="5" t="n">
        <v>3</v>
      </c>
      <c r="N88" s="5" t="inlineStr">
        <is>
          <t>L3-01</t>
        </is>
      </c>
      <c r="O88" s="5" t="inlineStr">
        <is>
          <t>À faire</t>
        </is>
      </c>
      <c r="P88" s="5" t="inlineStr"/>
    </row>
    <row r="89">
      <c r="A89" s="5" t="inlineStr">
        <is>
          <t>L3-03</t>
        </is>
      </c>
      <c r="B89" s="5" t="inlineStr">
        <is>
          <t>L3</t>
        </is>
      </c>
      <c r="C89" s="5" t="inlineStr">
        <is>
          <t>E3.1</t>
        </is>
      </c>
      <c r="D89" s="5" t="inlineStr">
        <is>
          <t>Contraintes</t>
        </is>
      </c>
      <c r="E89" s="5" t="inlineStr">
        <is>
          <t>Story</t>
        </is>
      </c>
      <c r="F89" s="5" t="inlineStr">
        <is>
          <t>Instances de contraintes</t>
        </is>
      </c>
      <c r="G89" s="5" t="inlineStr">
        <is>
          <t>CRUD /contraintes/instances par semestre.</t>
        </is>
      </c>
      <c r="H89" s="5" t="inlineStr">
        <is>
          <t>- Poids 0–100 (CHECK), null pour les dures
- Cible enseignant, groupe, salle ou module cohérente avec la portée
- Champs nature (REGLE ou VOEU) et commentaire</t>
        </is>
      </c>
      <c r="I89" s="5" t="inlineStr">
        <is>
          <t>EX-CTR-02</t>
        </is>
      </c>
      <c r="J89" s="5" t="inlineStr">
        <is>
          <t>§2.2, §4.11</t>
        </is>
      </c>
      <c r="K89" s="5" t="inlineStr">
        <is>
          <t>BACK</t>
        </is>
      </c>
      <c r="L89" s="5" t="inlineStr">
        <is>
          <t>Must</t>
        </is>
      </c>
      <c r="M89" s="5" t="n">
        <v>5</v>
      </c>
      <c r="N89" s="5" t="inlineStr">
        <is>
          <t>L3-01, L1-10, L1-04, L1-13</t>
        </is>
      </c>
      <c r="O89" s="5" t="inlineStr">
        <is>
          <t>À faire</t>
        </is>
      </c>
      <c r="P89" s="5" t="inlineStr"/>
    </row>
    <row r="90">
      <c r="A90" s="5" t="inlineStr">
        <is>
          <t>L3-04</t>
        </is>
      </c>
      <c r="B90" s="5" t="inlineStr">
        <is>
          <t>L3</t>
        </is>
      </c>
      <c r="C90" s="5" t="inlineStr">
        <is>
          <t>E3.1</t>
        </is>
      </c>
      <c r="D90" s="5" t="inlineStr">
        <is>
          <t>Contraintes</t>
        </is>
      </c>
      <c r="E90" s="5" t="inlineStr">
        <is>
          <t>Story</t>
        </is>
      </c>
      <c r="F90" s="5" t="inlineStr">
        <is>
          <t>UI contraintes</t>
        </is>
      </c>
      <c r="G90" s="5" t="inlineStr">
        <is>
          <t>Création et paramétrage des contraintes avec rapport de traduction FET en aperçu.</t>
        </is>
      </c>
      <c r="H90" s="5" t="inlineStr">
        <is>
          <t>- Le poids n'est saisissable que pour les contraintes souples
- L'aperçu fet-mapping est affiché (branché en L4)
- La nature de chaque contrainte (règle, préférence) est visible</t>
        </is>
      </c>
      <c r="I90" s="5" t="inlineStr">
        <is>
          <t>EX-CTR-02, EX-CTR-06</t>
        </is>
      </c>
      <c r="J90" s="5" t="inlineStr">
        <is>
          <t>§3.3</t>
        </is>
      </c>
      <c r="K90" s="5" t="inlineStr">
        <is>
          <t>FRONT</t>
        </is>
      </c>
      <c r="L90" s="5" t="inlineStr">
        <is>
          <t>Should</t>
        </is>
      </c>
      <c r="M90" s="5" t="n">
        <v>5</v>
      </c>
      <c r="N90" s="5" t="inlineStr">
        <is>
          <t>L3-03, L0-29</t>
        </is>
      </c>
      <c r="O90" s="5" t="inlineStr">
        <is>
          <t>À faire</t>
        </is>
      </c>
      <c r="P90" s="5" t="inlineStr"/>
    </row>
    <row r="91">
      <c r="A91" s="5" t="inlineStr">
        <is>
          <t>L3-05</t>
        </is>
      </c>
      <c r="B91" s="5" t="inlineStr">
        <is>
          <t>L3</t>
        </is>
      </c>
      <c r="C91" s="5" t="inlineStr">
        <is>
          <t>E3.1</t>
        </is>
      </c>
      <c r="D91" s="5" t="inlineStr">
        <is>
          <t>Contraintes</t>
        </is>
      </c>
      <c r="E91" s="5" t="inlineStr">
        <is>
          <t>Story</t>
        </is>
      </c>
      <c r="F91" s="5" t="inlineStr">
        <is>
          <t>Catalogue des règles générales</t>
        </is>
      </c>
      <c r="G91" s="5" t="inlineStr">
        <is>
          <t>Heures par jour, heures continues, creux, jours par semaine, amplitude, intervalle.</t>
        </is>
      </c>
      <c r="H91" s="5" t="inlineStr">
        <is>
          <t>- Codes MAX/MIN_HOURS_PER_DAY, MAX/MIN_CONTINUOUS_HOURS, MAX_GAPS_PER_DAY/WEEK, MAX/MIN_DAYS_PER_WEEK, MAX_SPAN_PER_DAY, MAX_HOURS_IN_INTERVAL
- Schéma de paramètres validé pour chaque code
- Catégories et portées autorisées par définition
- fetSupport renseigné après vérification au spike S1
- Une instance globale par semestre est créable par le Gestionnaire</t>
        </is>
      </c>
      <c r="I91" s="5" t="inlineStr">
        <is>
          <t>EX-CTR-02</t>
        </is>
      </c>
      <c r="J91" s="5" t="inlineStr">
        <is>
          <t>§4.11</t>
        </is>
      </c>
      <c r="K91" s="5" t="inlineStr">
        <is>
          <t>BACK</t>
        </is>
      </c>
      <c r="L91" s="5" t="inlineStr">
        <is>
          <t>Must</t>
        </is>
      </c>
      <c r="M91" s="5" t="n">
        <v>5</v>
      </c>
      <c r="N91" s="5" t="inlineStr">
        <is>
          <t>L3-01</t>
        </is>
      </c>
      <c r="O91" s="5" t="inlineStr">
        <is>
          <t>À faire</t>
        </is>
      </c>
      <c r="P91" s="5" t="inlineStr"/>
    </row>
    <row r="92">
      <c r="A92" s="5" t="inlineStr">
        <is>
          <t>L3-06</t>
        </is>
      </c>
      <c r="B92" s="5" t="inlineStr">
        <is>
          <t>L3</t>
        </is>
      </c>
      <c r="C92" s="5" t="inlineStr">
        <is>
          <t>E3.1</t>
        </is>
      </c>
      <c r="D92" s="5" t="inlineStr">
        <is>
          <t>Contraintes</t>
        </is>
      </c>
      <c r="E92" s="5" t="inlineStr">
        <is>
          <t>Story</t>
        </is>
      </c>
      <c r="F92" s="5" t="inlineStr">
        <is>
          <t>Précédence et cohérence des règles</t>
        </is>
      </c>
      <c r="G92" s="5" t="inlineStr">
        <is>
          <t>Précédence entre instances globales et spécifiques, contrôle de cohérence.</t>
        </is>
      </c>
      <c r="H92" s="5" t="inlineStr">
        <is>
          <t>- Une instance dure spécifique remplace la règle globale dure de même code pour son sujet ; les souples sont cumulatives
- 422 CONSTRAINT_INCOHERENT si minimum supérieur au maximum
- MIN_HOURS_PER_DAY : jours vides autorisés par défaut
- Avertissement si le volume d'un groupe dépasse heures par jour × jours par semaine</t>
        </is>
      </c>
      <c r="I92" s="5" t="inlineStr">
        <is>
          <t>EX-CTR-02</t>
        </is>
      </c>
      <c r="J92" s="5" t="inlineStr">
        <is>
          <t>§4.11</t>
        </is>
      </c>
      <c r="K92" s="5" t="inlineStr">
        <is>
          <t>BACK</t>
        </is>
      </c>
      <c r="L92" s="5" t="inlineStr">
        <is>
          <t>Must</t>
        </is>
      </c>
      <c r="M92" s="5" t="n">
        <v>3</v>
      </c>
      <c r="N92" s="5" t="inlineStr">
        <is>
          <t>L3-03, L3-05</t>
        </is>
      </c>
      <c r="O92" s="5" t="inlineStr">
        <is>
          <t>À faire</t>
        </is>
      </c>
      <c r="P92" s="5" t="inlineStr"/>
    </row>
    <row r="93">
      <c r="A93" s="5" t="inlineStr">
        <is>
          <t>L3-07</t>
        </is>
      </c>
      <c r="B93" s="5" t="inlineStr">
        <is>
          <t>L3</t>
        </is>
      </c>
      <c r="C93" s="5" t="inlineStr">
        <is>
          <t>E3.1</t>
        </is>
      </c>
      <c r="D93" s="5" t="inlineStr">
        <is>
          <t>Contraintes</t>
        </is>
      </c>
      <c r="E93" s="5" t="inlineStr">
        <is>
          <t>Story</t>
        </is>
      </c>
      <c r="F93" s="5" t="inlineStr">
        <is>
          <t>Duplication des contraintes et vœux d'un semestre à l'autre</t>
        </is>
      </c>
      <c r="G93" s="5" t="inlineStr">
        <is>
          <t>POST /contraintes/duplicate {sourceSemestreId, cibleSemestreId, natures}.</t>
        </is>
      </c>
      <c r="H93" s="5" t="inlineStr">
        <is>
          <t>- Copie uniquement les contraintes dont tous les sujets ont un homologue (originId)
- Indisponibilités recopiées par correspondance jour + heure de début
- Rapport listant ce qui n'a pas pu être copié
- Idempotent</t>
        </is>
      </c>
      <c r="I93" s="5" t="inlineStr">
        <is>
          <t>EX-CTR-03</t>
        </is>
      </c>
      <c r="J93" s="5" t="inlineStr">
        <is>
          <t>§4.11</t>
        </is>
      </c>
      <c r="K93" s="5" t="inlineStr">
        <is>
          <t>BACK</t>
        </is>
      </c>
      <c r="L93" s="5" t="inlineStr">
        <is>
          <t>Should</t>
        </is>
      </c>
      <c r="M93" s="5" t="n">
        <v>3</v>
      </c>
      <c r="N93" s="5" t="inlineStr">
        <is>
          <t>L3-03, L1-20</t>
        </is>
      </c>
      <c r="O93" s="5" t="inlineStr">
        <is>
          <t>À faire</t>
        </is>
      </c>
      <c r="P93" s="5" t="inlineStr"/>
    </row>
    <row r="94">
      <c r="A94" s="5" t="inlineStr">
        <is>
          <t>L3-08</t>
        </is>
      </c>
      <c r="B94" s="5" t="inlineStr">
        <is>
          <t>L3</t>
        </is>
      </c>
      <c r="C94" s="5" t="inlineStr">
        <is>
          <t>E3.1</t>
        </is>
      </c>
      <c r="D94" s="5" t="inlineStr">
        <is>
          <t>Contraintes</t>
        </is>
      </c>
      <c r="E94" s="5" t="inlineStr">
        <is>
          <t>Story</t>
        </is>
      </c>
      <c r="F94" s="5" t="inlineStr">
        <is>
          <t>Pauses fixes et fenêtres de pause</t>
        </is>
      </c>
      <c r="G94" s="5" t="inlineStr">
        <is>
          <t>Pauses fixes, créneaux bloqués, pause libre minimale dans une fenêtre (par exemple 30 minutes entre 12h00 et 14h00).</t>
        </is>
      </c>
      <c r="H94" s="5" t="inlineStr">
        <is>
          <t>- La pause libre minimale est exprimée par MAX_HOURS_IN_INTERVAL
- Elle est contrôlée à la génération et à l'édition manuelle
- Une fenêtre de pause impossible à satisfaire est signalée dans la préparation</t>
        </is>
      </c>
      <c r="I94" s="5" t="inlineStr">
        <is>
          <t>EX-CTR-04</t>
        </is>
      </c>
      <c r="J94" s="5" t="inlineStr">
        <is>
          <t>§4.11, §4.3</t>
        </is>
      </c>
      <c r="K94" s="5" t="inlineStr">
        <is>
          <t>BACK</t>
        </is>
      </c>
      <c r="L94" s="5" t="inlineStr">
        <is>
          <t>Must</t>
        </is>
      </c>
      <c r="M94" s="5" t="n">
        <v>3</v>
      </c>
      <c r="N94" s="5" t="inlineStr">
        <is>
          <t>L3-05, L1-17</t>
        </is>
      </c>
      <c r="O94" s="5" t="inlineStr">
        <is>
          <t>À faire</t>
        </is>
      </c>
      <c r="P94" s="5" t="inlineStr"/>
    </row>
    <row r="95">
      <c r="A95" s="5" t="inlineStr">
        <is>
          <t>L3-09</t>
        </is>
      </c>
      <c r="B95" s="5" t="inlineStr">
        <is>
          <t>L3</t>
        </is>
      </c>
      <c r="C95" s="5" t="inlineStr">
        <is>
          <t>E3.2</t>
        </is>
      </c>
      <c r="D95" s="5" t="inlineStr">
        <is>
          <t>Versions &amp; séances</t>
        </is>
      </c>
      <c r="E95" s="5" t="inlineStr">
        <is>
          <t>Story</t>
        </is>
      </c>
      <c r="F95" s="5" t="inlineStr">
        <is>
          <t>Création de version</t>
        </is>
      </c>
      <c r="G95" s="5" t="inlineStr">
        <is>
          <t>POST /versions, sélection des derniers snapshots validés, création des séances.</t>
        </is>
      </c>
      <c r="H95" s="5" t="inlineStr">
        <is>
          <t>- 422 si un département n'a pas de snapshot validé
- CM commun (groupeCommunKey) produit une seule séance multi-groupes
- Une seule version de travail à la fois (409)
- Numérotation majeur/mineur selon RC-04
- Chaque séance porte affectationKey, rang et tag résolu</t>
        </is>
      </c>
      <c r="I95" s="5" t="inlineStr">
        <is>
          <t>EX-WFL-07</t>
        </is>
      </c>
      <c r="J95" s="5" t="inlineStr">
        <is>
          <t>§3.4.4, §0.3</t>
        </is>
      </c>
      <c r="K95" s="5" t="inlineStr">
        <is>
          <t>BACK</t>
        </is>
      </c>
      <c r="L95" s="5" t="inlineStr">
        <is>
          <t>Must</t>
        </is>
      </c>
      <c r="M95" s="5" t="n">
        <v>8</v>
      </c>
      <c r="N95" s="5" t="inlineStr">
        <is>
          <t>L2-12, L1-17</t>
        </is>
      </c>
      <c r="O95" s="5" t="inlineStr">
        <is>
          <t>À faire</t>
        </is>
      </c>
      <c r="P95" s="5" t="inlineStr"/>
    </row>
    <row r="96">
      <c r="A96" s="5" t="inlineStr">
        <is>
          <t>L3-10</t>
        </is>
      </c>
      <c r="B96" s="5" t="inlineStr">
        <is>
          <t>L3</t>
        </is>
      </c>
      <c r="C96" s="5" t="inlineStr">
        <is>
          <t>E3.2</t>
        </is>
      </c>
      <c r="D96" s="5" t="inlineStr">
        <is>
          <t>Versions &amp; séances</t>
        </is>
      </c>
      <c r="E96" s="5" t="inlineStr">
        <is>
          <t>Story</t>
        </is>
      </c>
      <c r="F96" s="5" t="inlineStr">
        <is>
          <t>Séances, occupations et immutabilité</t>
        </is>
      </c>
      <c r="G96" s="5" t="inlineStr">
        <is>
          <t>Modèle Seance, SeanceGroupe, Occupation, CHECK de placement, triggers d'immutabilité.</t>
        </is>
      </c>
      <c r="H96" s="5" t="inlineStr">
        <is>
          <t>- Unicité des occupations par ressource et créneau en base
- CHECK chk_seance_placement vérifié
- Séance d'une version PUBLIE ou ARCHIVE non modifiable, y compris par l'Administrateur</t>
        </is>
      </c>
      <c r="I96" s="5" t="inlineStr">
        <is>
          <t>EX-PRI-03</t>
        </is>
      </c>
      <c r="J96" s="5" t="inlineStr">
        <is>
          <t>§2.2, §2.4</t>
        </is>
      </c>
      <c r="K96" s="5" t="inlineStr">
        <is>
          <t>BACK</t>
        </is>
      </c>
      <c r="L96" s="5" t="inlineStr">
        <is>
          <t>Must</t>
        </is>
      </c>
      <c r="M96" s="5" t="n">
        <v>5</v>
      </c>
      <c r="N96" s="5" t="inlineStr">
        <is>
          <t>L3-09</t>
        </is>
      </c>
      <c r="O96" s="5" t="inlineStr">
        <is>
          <t>À faire</t>
        </is>
      </c>
      <c r="P96" s="5" t="inlineStr"/>
    </row>
    <row r="97">
      <c r="A97" s="5" t="inlineStr">
        <is>
          <t>L3-11</t>
        </is>
      </c>
      <c r="B97" s="5" t="inlineStr">
        <is>
          <t>L3</t>
        </is>
      </c>
      <c r="C97" s="5" t="inlineStr">
        <is>
          <t>E3.2</t>
        </is>
      </c>
      <c r="D97" s="5" t="inlineStr">
        <is>
          <t>Versions &amp; séances</t>
        </is>
      </c>
      <c r="E97" s="5" t="inlineStr">
        <is>
          <t>Story</t>
        </is>
      </c>
      <c r="F97" s="5" t="inlineStr">
        <is>
          <t>API de consultation des séances et versions</t>
        </is>
      </c>
      <c r="G97" s="5" t="inlineStr">
        <is>
          <t>GET /versions, /versions/{id}, /versions/{id}/seances, /seances/{id}.</t>
        </is>
      </c>
      <c r="H97" s="5" t="inlineStr">
        <is>
          <t>- Filtres jour, groupe, enseignant, salle
- ETag et If-None-Match
- Chargement d'une grille &lt; 500 ms
- La Direction ne voit que les versions publiées et archivées</t>
        </is>
      </c>
      <c r="I97" s="5" t="inlineStr">
        <is>
          <t>EX-NFR-04, EX-ROL-04</t>
        </is>
      </c>
      <c r="J97" s="5" t="inlineStr">
        <is>
          <t>§3.3, §5.4</t>
        </is>
      </c>
      <c r="K97" s="5" t="inlineStr">
        <is>
          <t>BACK</t>
        </is>
      </c>
      <c r="L97" s="5" t="inlineStr">
        <is>
          <t>Must</t>
        </is>
      </c>
      <c r="M97" s="5" t="n">
        <v>5</v>
      </c>
      <c r="N97" s="5" t="inlineStr">
        <is>
          <t>L3-10</t>
        </is>
      </c>
      <c r="O97" s="5" t="inlineStr">
        <is>
          <t>À faire</t>
        </is>
      </c>
      <c r="P97" s="5" t="inlineStr"/>
    </row>
    <row r="98">
      <c r="A98" s="5" t="inlineStr">
        <is>
          <t>L3-12</t>
        </is>
      </c>
      <c r="B98" s="5" t="inlineStr">
        <is>
          <t>L3</t>
        </is>
      </c>
      <c r="C98" s="5" t="inlineStr">
        <is>
          <t>E3.3</t>
        </is>
      </c>
      <c r="D98" s="5" t="inlineStr">
        <is>
          <t>Conflict-engine</t>
        </is>
      </c>
      <c r="E98" s="5" t="inlineStr">
        <is>
          <t>Story</t>
        </is>
      </c>
      <c r="F98" s="5" t="inlineStr">
        <is>
          <t>Structures du conflict-engine</t>
        </is>
      </c>
      <c r="G98" s="5" t="inlineStr">
        <is>
          <t>OccupancyIndex, GroupeClosure, IndispoSet, Reqs, SnapshotIndex, VerrouIndex.</t>
        </is>
      </c>
      <c r="H98" s="5" t="inlineStr">
        <is>
          <t>- Paquet pur sans dépendance NestJS ni Prisma
- Construction en O(S)</t>
        </is>
      </c>
      <c r="I98" s="5" t="inlineStr">
        <is>
          <t>EX-EDI-02</t>
        </is>
      </c>
      <c r="J98" s="5" t="inlineStr">
        <is>
          <t>§4.3</t>
        </is>
      </c>
      <c r="K98" s="5" t="inlineStr">
        <is>
          <t>BACK</t>
        </is>
      </c>
      <c r="L98" s="5" t="inlineStr">
        <is>
          <t>Must</t>
        </is>
      </c>
      <c r="M98" s="5" t="n">
        <v>5</v>
      </c>
      <c r="N98" s="5" t="inlineStr">
        <is>
          <t>L0-03</t>
        </is>
      </c>
      <c r="O98" s="5" t="inlineStr">
        <is>
          <t>À faire</t>
        </is>
      </c>
      <c r="P98" s="5" t="inlineStr"/>
    </row>
    <row r="99">
      <c r="A99" s="5" t="inlineStr">
        <is>
          <t>L3-13</t>
        </is>
      </c>
      <c r="B99" s="5" t="inlineStr">
        <is>
          <t>L3</t>
        </is>
      </c>
      <c r="C99" s="5" t="inlineStr">
        <is>
          <t>E3.3</t>
        </is>
      </c>
      <c r="D99" s="5" t="inlineStr">
        <is>
          <t>Conflict-engine</t>
        </is>
      </c>
      <c r="E99" s="5" t="inlineStr">
        <is>
          <t>Story</t>
        </is>
      </c>
      <c r="F99" s="5" t="inlineStr">
        <is>
          <t>Règles de collision</t>
        </is>
      </c>
      <c r="G99" s="5" t="inlineStr">
        <is>
          <t>TEACHER, ROOM, GROUP_DOUBLE_BOOKING et SLOT_SPANS_BREAK.</t>
        </is>
      </c>
      <c r="H99" s="5" t="inlineStr">
        <is>
          <t>- Un groupe est en conflit avec ses ancêtres et descendants
- Une séance qui franchit une pause ou la fin de journée est refusée</t>
        </is>
      </c>
      <c r="I99" s="5" t="inlineStr">
        <is>
          <t>EX-EDI-02</t>
        </is>
      </c>
      <c r="J99" s="5" t="inlineStr">
        <is>
          <t>§4.3</t>
        </is>
      </c>
      <c r="K99" s="5" t="inlineStr">
        <is>
          <t>BACK</t>
        </is>
      </c>
      <c r="L99" s="5" t="inlineStr">
        <is>
          <t>Must</t>
        </is>
      </c>
      <c r="M99" s="5" t="n">
        <v>5</v>
      </c>
      <c r="N99" s="5" t="inlineStr">
        <is>
          <t>L3-12</t>
        </is>
      </c>
      <c r="O99" s="5" t="inlineStr">
        <is>
          <t>À faire</t>
        </is>
      </c>
      <c r="P99" s="5" t="inlineStr"/>
    </row>
    <row r="100">
      <c r="A100" s="5" t="inlineStr">
        <is>
          <t>L3-14</t>
        </is>
      </c>
      <c r="B100" s="5" t="inlineStr">
        <is>
          <t>L3</t>
        </is>
      </c>
      <c r="C100" s="5" t="inlineStr">
        <is>
          <t>E3.3</t>
        </is>
      </c>
      <c r="D100" s="5" t="inlineStr">
        <is>
          <t>Conflict-engine</t>
        </is>
      </c>
      <c r="E100" s="5" t="inlineStr">
        <is>
          <t>Story</t>
        </is>
      </c>
      <c r="F100" s="5" t="inlineStr">
        <is>
          <t>Règles de capacité, disponibilité et compatibilité</t>
        </is>
      </c>
      <c r="G100" s="5" t="inlineStr">
        <is>
          <t>ROOM_CAPACITY, ROOM_CAPACITY_RECOMMENDED, TEACHER/ROOM_UNAVAILABLE, ROOM_TAG_INCOMPATIBLE, ROOM_EQUIPMENT_MISSING, ROOM_NOT_ALLOWED.</t>
        </is>
      </c>
      <c r="H100" s="5" t="inlineStr">
        <is>
          <t>- La capacité somme les effectifs des groupes distincts (l'ancêtre prime sur le descendant)
- La capacité maximale est bloquante, la recommandée est un avertissement
- Un équipement obligatoire manquant est bloquant, un équipement souhaité est un avertissement
- Un CM commun cumule les indisponibilités de chaque groupe
- La salle imposée et la liste autorisée sont contrôlées</t>
        </is>
      </c>
      <c r="I100" s="5" t="inlineStr">
        <is>
          <t>EX-EDI-02, EX-CTR-07, EX-CTR-08</t>
        </is>
      </c>
      <c r="J100" s="5" t="inlineStr">
        <is>
          <t>§4.3</t>
        </is>
      </c>
      <c r="K100" s="5" t="inlineStr">
        <is>
          <t>BACK</t>
        </is>
      </c>
      <c r="L100" s="5" t="inlineStr">
        <is>
          <t>Must</t>
        </is>
      </c>
      <c r="M100" s="5" t="n">
        <v>5</v>
      </c>
      <c r="N100" s="5" t="inlineStr">
        <is>
          <t>L3-12, L1-15</t>
        </is>
      </c>
      <c r="O100" s="5" t="inlineStr">
        <is>
          <t>À faire</t>
        </is>
      </c>
      <c r="P100" s="5" t="inlineStr"/>
    </row>
    <row r="101">
      <c r="A101" s="5" t="inlineStr">
        <is>
          <t>L3-15</t>
        </is>
      </c>
      <c r="B101" s="5" t="inlineStr">
        <is>
          <t>L3</t>
        </is>
      </c>
      <c r="C101" s="5" t="inlineStr">
        <is>
          <t>E3.3</t>
        </is>
      </c>
      <c r="D101" s="5" t="inlineStr">
        <is>
          <t>Conflict-engine</t>
        </is>
      </c>
      <c r="E101" s="5" t="inlineStr">
        <is>
          <t>Story</t>
        </is>
      </c>
      <c r="F101" s="5" t="inlineStr">
        <is>
          <t>Règles pédagogiques et de complétude</t>
        </is>
      </c>
      <c r="G101" s="5" t="inlineStr">
        <is>
          <t>TEACHER_NOT_IN_SNAPSHOT, SESSION_OVERPLANNED, SESSION_DURATION_MISMATCH, COVERAGE_INCOMPLETE, SESSION_UNPLACED.</t>
        </is>
      </c>
      <c r="H101" s="5" t="inlineStr">
        <is>
          <t>- Couverture exactement égale à 100 % requise (B7)
- Sur-planification = conflit bloquant</t>
        </is>
      </c>
      <c r="I101" s="5" t="inlineStr">
        <is>
          <t>EX-EDI-02, EX-EDI-05</t>
        </is>
      </c>
      <c r="J101" s="5" t="inlineStr">
        <is>
          <t>§4.3, §4.8</t>
        </is>
      </c>
      <c r="K101" s="5" t="inlineStr">
        <is>
          <t>BACK</t>
        </is>
      </c>
      <c r="L101" s="5" t="inlineStr">
        <is>
          <t>Must</t>
        </is>
      </c>
      <c r="M101" s="5" t="n">
        <v>5</v>
      </c>
      <c r="N101" s="5" t="inlineStr">
        <is>
          <t>L3-12</t>
        </is>
      </c>
      <c r="O101" s="5" t="inlineStr">
        <is>
          <t>À faire</t>
        </is>
      </c>
      <c r="P101" s="5" t="inlineStr"/>
    </row>
    <row r="102">
      <c r="A102" s="5" t="inlineStr">
        <is>
          <t>L3-16</t>
        </is>
      </c>
      <c r="B102" s="5" t="inlineStr">
        <is>
          <t>L3</t>
        </is>
      </c>
      <c r="C102" s="5" t="inlineStr">
        <is>
          <t>E3.3</t>
        </is>
      </c>
      <c r="D102" s="5" t="inlineStr">
        <is>
          <t>Conflict-engine</t>
        </is>
      </c>
      <c r="E102" s="5" t="inlineStr">
        <is>
          <t>Story</t>
        </is>
      </c>
      <c r="F102" s="5" t="inlineStr">
        <is>
          <t>Sévérités et signature des conflits</t>
        </is>
      </c>
      <c r="G102" s="5" t="inlineStr">
        <is>
          <t>Sévérité BLOQUANT, AVERTISSEMENT, INFORMATION par règle ; signature stable de chaque conflit.</t>
        </is>
      </c>
      <c r="H102" s="5" t="inlineStr">
        <is>
          <t>- Chaque règle porte sa sévérité et son caractère acceptable ou non
- La signature change dès que la séance, la salle ou le créneau change
- Les types VERROU, COVOITURAGE et VOEU existent</t>
        </is>
      </c>
      <c r="I102" s="5" t="inlineStr">
        <is>
          <t>EX-CTR-07, EX-EDI-02</t>
        </is>
      </c>
      <c r="J102" s="5" t="inlineStr">
        <is>
          <t>§4.3</t>
        </is>
      </c>
      <c r="K102" s="5" t="inlineStr">
        <is>
          <t>BACK</t>
        </is>
      </c>
      <c r="L102" s="5" t="inlineStr">
        <is>
          <t>Must</t>
        </is>
      </c>
      <c r="M102" s="5" t="n">
        <v>3</v>
      </c>
      <c r="N102" s="5" t="inlineStr">
        <is>
          <t>L3-14</t>
        </is>
      </c>
      <c r="O102" s="5" t="inlineStr">
        <is>
          <t>À faire</t>
        </is>
      </c>
      <c r="P102" s="5" t="inlineStr"/>
    </row>
    <row r="103">
      <c r="A103" s="5" t="inlineStr">
        <is>
          <t>L3-17</t>
        </is>
      </c>
      <c r="B103" s="5" t="inlineStr">
        <is>
          <t>L3</t>
        </is>
      </c>
      <c r="C103" s="5" t="inlineStr">
        <is>
          <t>E3.3</t>
        </is>
      </c>
      <c r="D103" s="5" t="inlineStr">
        <is>
          <t>Conflict-engine</t>
        </is>
      </c>
      <c r="E103" s="5" t="inlineStr">
        <is>
          <t>Story</t>
        </is>
      </c>
      <c r="F103" s="5" t="inlineStr">
        <is>
          <t>Recalcul incrémental et complet</t>
        </is>
      </c>
      <c r="G103" s="5" t="inlineStr">
        <is>
          <t>impactedSeances, conflits:recompute, persistance Conflit.</t>
        </is>
      </c>
      <c r="H103" s="5" t="inlineStr">
        <is>
          <t>- Le recalcul incrémental donne le même résultat que le recalcul complet
- Les conflits disparus reçoivent resoluLe
- conflits:recompute &lt; 2 s pour 4 000 séances</t>
        </is>
      </c>
      <c r="I103" s="5" t="inlineStr">
        <is>
          <t>EX-EDI-01, EX-NFR-04</t>
        </is>
      </c>
      <c r="J103" s="5" t="inlineStr">
        <is>
          <t>§4.3, §5.4</t>
        </is>
      </c>
      <c r="K103" s="5" t="inlineStr">
        <is>
          <t>BACK</t>
        </is>
      </c>
      <c r="L103" s="5" t="inlineStr">
        <is>
          <t>Must</t>
        </is>
      </c>
      <c r="M103" s="5" t="n">
        <v>8</v>
      </c>
      <c r="N103" s="5" t="inlineStr">
        <is>
          <t>L3-13, L3-14, L3-15, L3-10, L3-16</t>
        </is>
      </c>
      <c r="O103" s="5" t="inlineStr">
        <is>
          <t>À faire</t>
        </is>
      </c>
      <c r="P103" s="5" t="inlineStr"/>
    </row>
    <row r="104">
      <c r="A104" s="5" t="inlineStr">
        <is>
          <t>L3-18</t>
        </is>
      </c>
      <c r="B104" s="5" t="inlineStr">
        <is>
          <t>L3</t>
        </is>
      </c>
      <c r="C104" s="5" t="inlineStr">
        <is>
          <t>E3.3</t>
        </is>
      </c>
      <c r="D104" s="5" t="inlineStr">
        <is>
          <t>Conflict-engine</t>
        </is>
      </c>
      <c r="E104" s="5" t="inlineStr">
        <is>
          <t>Test</t>
        </is>
      </c>
      <c r="F104" s="5" t="inlineStr">
        <is>
          <t>Tests par propriété du conflict-engine</t>
        </is>
      </c>
      <c r="G104" s="5" t="inlineStr">
        <is>
          <t>fast-check sur déplacements aléatoires.</t>
        </is>
      </c>
      <c r="H104" s="5" t="inlineStr">
        <is>
          <t>- Aucun déplacement accepté ne crée de double réservation
- Incrémental = complet sur des séquences aléatoires</t>
        </is>
      </c>
      <c r="I104" s="5" t="inlineStr">
        <is>
          <t>EX-NFR-07</t>
        </is>
      </c>
      <c r="J104" s="5" t="inlineStr">
        <is>
          <t>§5.5</t>
        </is>
      </c>
      <c r="K104" s="5" t="inlineStr">
        <is>
          <t>QA</t>
        </is>
      </c>
      <c r="L104" s="5" t="inlineStr">
        <is>
          <t>Must</t>
        </is>
      </c>
      <c r="M104" s="5" t="n">
        <v>5</v>
      </c>
      <c r="N104" s="5" t="inlineStr">
        <is>
          <t>L3-17</t>
        </is>
      </c>
      <c r="O104" s="5" t="inlineStr">
        <is>
          <t>À faire</t>
        </is>
      </c>
      <c r="P104" s="5" t="inlineStr"/>
    </row>
    <row r="105">
      <c r="A105" s="5" t="inlineStr">
        <is>
          <t>L3-19</t>
        </is>
      </c>
      <c r="B105" s="5" t="inlineStr">
        <is>
          <t>L3</t>
        </is>
      </c>
      <c r="C105" s="5" t="inlineStr">
        <is>
          <t>E3.4</t>
        </is>
      </c>
      <c r="D105" s="5" t="inlineStr">
        <is>
          <t>Bail d'édition &amp; concurrence</t>
        </is>
      </c>
      <c r="E105" s="5" t="inlineStr">
        <is>
          <t>Story</t>
        </is>
      </c>
      <c r="F105" s="5" t="inlineStr">
        <is>
          <t>Bail d'édition exclusif</t>
        </is>
      </c>
      <c r="G105" s="5" t="inlineStr">
        <is>
          <t>POST/DELETE /versions/{id}/edit-lock, bail 30 minutes, heartbeat.</t>
        </is>
      </c>
      <c r="H105" s="5" t="inlineStr">
        <is>
          <t>- Le second utilisateur reçoit 423 EDIT_LOCK_HELD et reste en lecture seule
- Le bail expire automatiquement
- L'Administrateur peut forcer la libération (audit)</t>
        </is>
      </c>
      <c r="I105" s="5" t="inlineStr">
        <is>
          <t>EX-EDI-04</t>
        </is>
      </c>
      <c r="J105" s="5" t="inlineStr">
        <is>
          <t>§4.4, §3.3</t>
        </is>
      </c>
      <c r="K105" s="5" t="inlineStr">
        <is>
          <t>BACK</t>
        </is>
      </c>
      <c r="L105" s="5" t="inlineStr">
        <is>
          <t>Must</t>
        </is>
      </c>
      <c r="M105" s="5" t="n">
        <v>5</v>
      </c>
      <c r="N105" s="5" t="inlineStr">
        <is>
          <t>L3-11, L0-23</t>
        </is>
      </c>
      <c r="O105" s="5" t="inlineStr">
        <is>
          <t>À faire</t>
        </is>
      </c>
      <c r="P105" s="5" t="inlineStr"/>
    </row>
    <row r="106">
      <c r="A106" s="5" t="inlineStr">
        <is>
          <t>L3-20</t>
        </is>
      </c>
      <c r="B106" s="5" t="inlineStr">
        <is>
          <t>L3</t>
        </is>
      </c>
      <c r="C106" s="5" t="inlineStr">
        <is>
          <t>E3.5</t>
        </is>
      </c>
      <c r="D106" s="5" t="inlineStr">
        <is>
          <t>Éditeur manuel</t>
        </is>
      </c>
      <c r="E106" s="5" t="inlineStr">
        <is>
          <t>Story</t>
        </is>
      </c>
      <c r="F106" s="5" t="inlineStr">
        <is>
          <t>Déplacement d'une séance</t>
        </is>
      </c>
      <c r="G106" s="5" t="inlineStr">
        <is>
          <t>PATCH /seances/{id}/placement (MoveSeanceUseCase).</t>
        </is>
      </c>
      <c r="H106" s="5" t="inlineStr">
        <is>
          <t>- If-Match obligatoire (412 si périmé)
- Un nouveau conflit bloquant provoque 422 SEANCE_CONFLICT_BLOCKING avec détail et rollback
- Mise à jour atomique séance, occupations, conflits, revision et audit
- Séance verrouillée (créneau, salle ou activité) refusée, état non éditable en 409</t>
        </is>
      </c>
      <c r="I106" s="5" t="inlineStr">
        <is>
          <t>EX-EDI-01</t>
        </is>
      </c>
      <c r="J106" s="5" t="inlineStr">
        <is>
          <t>§3.4.9, §4.4</t>
        </is>
      </c>
      <c r="K106" s="5" t="inlineStr">
        <is>
          <t>BACK</t>
        </is>
      </c>
      <c r="L106" s="5" t="inlineStr">
        <is>
          <t>Must</t>
        </is>
      </c>
      <c r="M106" s="5" t="n">
        <v>8</v>
      </c>
      <c r="N106" s="5" t="inlineStr">
        <is>
          <t>L3-17, L3-19, L3-36</t>
        </is>
      </c>
      <c r="O106" s="5" t="inlineStr">
        <is>
          <t>À faire</t>
        </is>
      </c>
      <c r="P106" s="5" t="inlineStr"/>
    </row>
    <row r="107">
      <c r="A107" s="5" t="inlineStr">
        <is>
          <t>L3-21</t>
        </is>
      </c>
      <c r="B107" s="5" t="inlineStr">
        <is>
          <t>L3</t>
        </is>
      </c>
      <c r="C107" s="5" t="inlineStr">
        <is>
          <t>E3.5</t>
        </is>
      </c>
      <c r="D107" s="5" t="inlineStr">
        <is>
          <t>Éditeur manuel</t>
        </is>
      </c>
      <c r="E107" s="5" t="inlineStr">
        <is>
          <t>Story</t>
        </is>
      </c>
      <c r="F107" s="5" t="inlineStr">
        <is>
          <t>Simulation de placement</t>
        </is>
      </c>
      <c r="G107" s="5" t="inlineStr">
        <is>
          <t>POST /seances/{id}/placement:simulate sans écriture, avec contraintes respectées et violées et impacts.</t>
        </is>
      </c>
      <c r="H107" s="5" t="inlineStr">
        <is>
          <t>- Aucune écriture en base
- Réponse &lt; 100 ms
- La réponse indique contraintes respectées et violées, impact groupe, enseignant, salle et verrous</t>
        </is>
      </c>
      <c r="I107" s="5" t="inlineStr">
        <is>
          <t>EX-EDI-03</t>
        </is>
      </c>
      <c r="J107" s="5" t="inlineStr">
        <is>
          <t>§4.4, §5.4</t>
        </is>
      </c>
      <c r="K107" s="5" t="inlineStr">
        <is>
          <t>BACK</t>
        </is>
      </c>
      <c r="L107" s="5" t="inlineStr">
        <is>
          <t>Must</t>
        </is>
      </c>
      <c r="M107" s="5" t="n">
        <v>3</v>
      </c>
      <c r="N107" s="5" t="inlineStr">
        <is>
          <t>L3-17</t>
        </is>
      </c>
      <c r="O107" s="5" t="inlineStr">
        <is>
          <t>À faire</t>
        </is>
      </c>
      <c r="P107" s="5" t="inlineStr"/>
    </row>
    <row r="108">
      <c r="A108" s="5" t="inlineStr">
        <is>
          <t>L3-22</t>
        </is>
      </c>
      <c r="B108" s="5" t="inlineStr">
        <is>
          <t>L3</t>
        </is>
      </c>
      <c r="C108" s="5" t="inlineStr">
        <is>
          <t>E3.5</t>
        </is>
      </c>
      <c r="D108" s="5" t="inlineStr">
        <is>
          <t>Éditeur manuel</t>
        </is>
      </c>
      <c r="E108" s="5" t="inlineStr">
        <is>
          <t>Story</t>
        </is>
      </c>
      <c r="F108" s="5" t="inlineStr">
        <is>
          <t>Changement d'enseignant</t>
        </is>
      </c>
      <c r="G108" s="5" t="inlineStr">
        <is>
          <t>PATCH /seances/{id}.</t>
        </is>
      </c>
      <c r="H108" s="5" t="inlineStr">
        <is>
          <t>- Enseignant autorisé uniquement s'il figure dans le snapshot pour tous les groupes (sinon 422 TEACHER_NOT_ASSIGNED et suggestion de demande)
- Refusé si un verrou enseignant ou activité est actif</t>
        </is>
      </c>
      <c r="I108" s="5" t="inlineStr">
        <is>
          <t>EX-EDI-01, EX-ROL-05</t>
        </is>
      </c>
      <c r="J108" s="5" t="inlineStr">
        <is>
          <t>§4.4, §0.3</t>
        </is>
      </c>
      <c r="K108" s="5" t="inlineStr">
        <is>
          <t>BACK</t>
        </is>
      </c>
      <c r="L108" s="5" t="inlineStr">
        <is>
          <t>Must</t>
        </is>
      </c>
      <c r="M108" s="5" t="n">
        <v>5</v>
      </c>
      <c r="N108" s="5" t="inlineStr">
        <is>
          <t>L3-20, L2-15</t>
        </is>
      </c>
      <c r="O108" s="5" t="inlineStr">
        <is>
          <t>À faire</t>
        </is>
      </c>
      <c r="P108" s="5" t="inlineStr"/>
    </row>
    <row r="109">
      <c r="A109" s="5" t="inlineStr">
        <is>
          <t>L3-23</t>
        </is>
      </c>
      <c r="B109" s="5" t="inlineStr">
        <is>
          <t>L3</t>
        </is>
      </c>
      <c r="C109" s="5" t="inlineStr">
        <is>
          <t>E3.5</t>
        </is>
      </c>
      <c r="D109" s="5" t="inlineStr">
        <is>
          <t>Éditeur manuel</t>
        </is>
      </c>
      <c r="E109" s="5" t="inlineStr">
        <is>
          <t>Tâche technique</t>
        </is>
      </c>
      <c r="F109" s="5" t="inlineStr">
        <is>
          <t>Cache OccupancyIndex</t>
        </is>
      </c>
      <c r="G109" s="5" t="inlineStr">
        <is>
          <t>Cache mémoire clé versionId@revision.</t>
        </is>
      </c>
      <c r="H109" s="5" t="inlineStr">
        <is>
          <t>- Invalidation naturelle au changement de revision
- Une instance en retard reconstruit l'index</t>
        </is>
      </c>
      <c r="I109" s="5" t="inlineStr">
        <is>
          <t>EX-NFR-04</t>
        </is>
      </c>
      <c r="J109" s="5" t="inlineStr">
        <is>
          <t>§5.4</t>
        </is>
      </c>
      <c r="K109" s="5" t="inlineStr">
        <is>
          <t>BACK</t>
        </is>
      </c>
      <c r="L109" s="5" t="inlineStr">
        <is>
          <t>Should</t>
        </is>
      </c>
      <c r="M109" s="5" t="n">
        <v>3</v>
      </c>
      <c r="N109" s="5" t="inlineStr">
        <is>
          <t>L3-20</t>
        </is>
      </c>
      <c r="O109" s="5" t="inlineStr">
        <is>
          <t>À faire</t>
        </is>
      </c>
      <c r="P109" s="5" t="inlineStr"/>
    </row>
    <row r="110">
      <c r="A110" s="5" t="inlineStr">
        <is>
          <t>L3-24</t>
        </is>
      </c>
      <c r="B110" s="5" t="inlineStr">
        <is>
          <t>L3</t>
        </is>
      </c>
      <c r="C110" s="5" t="inlineStr">
        <is>
          <t>E3.5</t>
        </is>
      </c>
      <c r="D110" s="5" t="inlineStr">
        <is>
          <t>Éditeur manuel</t>
        </is>
      </c>
      <c r="E110" s="5" t="inlineStr">
        <is>
          <t>Story</t>
        </is>
      </c>
      <c r="F110" s="5" t="inlineStr">
        <is>
          <t>Historique et annulation en brouillon</t>
        </is>
      </c>
      <c r="G110" s="5" t="inlineStr">
        <is>
          <t>Dernier auteur, dernière modification, annulation d'une modification récente, comparaison avec la version de référence.</t>
        </is>
      </c>
      <c r="H110" s="5" t="inlineStr">
        <is>
          <t>- Chaque déplacement est historisé (avant, après)
- L'annulation ré-applique la position précédente avec les mêmes contrôles
- Le détail de la version expose dernier auteur et dernière modification
- La comparaison avec la version de référence est disponible</t>
        </is>
      </c>
      <c r="I110" s="5" t="inlineStr">
        <is>
          <t>EX-EDI-06</t>
        </is>
      </c>
      <c r="J110" s="5" t="inlineStr">
        <is>
          <t>§4.4</t>
        </is>
      </c>
      <c r="K110" s="5" t="inlineStr">
        <is>
          <t>FULL</t>
        </is>
      </c>
      <c r="L110" s="5" t="inlineStr">
        <is>
          <t>Should</t>
        </is>
      </c>
      <c r="M110" s="5" t="n">
        <v>5</v>
      </c>
      <c r="N110" s="5" t="inlineStr">
        <is>
          <t>L3-20</t>
        </is>
      </c>
      <c r="O110" s="5" t="inlineStr">
        <is>
          <t>À faire</t>
        </is>
      </c>
      <c r="P110" s="5" t="inlineStr"/>
    </row>
    <row r="111">
      <c r="A111" s="5" t="inlineStr">
        <is>
          <t>L3-25</t>
        </is>
      </c>
      <c r="B111" s="5" t="inlineStr">
        <is>
          <t>L3</t>
        </is>
      </c>
      <c r="C111" s="5" t="inlineStr">
        <is>
          <t>E3.6</t>
        </is>
      </c>
      <c r="D111" s="5" t="inlineStr">
        <is>
          <t>Guidage de résolution</t>
        </is>
      </c>
      <c r="E111" s="5" t="inlineStr">
        <is>
          <t>Story</t>
        </is>
      </c>
      <c r="F111" s="5" t="inlineStr">
        <is>
          <t>Suggestions de résolution</t>
        </is>
      </c>
      <c r="G111" s="5" t="inlineStr">
        <is>
          <t>GET /seances/{id}/suggestions, 20 alternatives maximum.</t>
        </is>
      </c>
      <c r="H111" s="5" t="inlineStr">
        <is>
          <t>- Aucune écriture, alternatives sans conflit bloquant
- Tri par conflits résolus, delta de score souple, distance, salle conservée
- Départage déterministe et réponse &lt; 1 s
- Alternatives d'enseignant proposées séparément</t>
        </is>
      </c>
      <c r="I111" s="5" t="inlineStr">
        <is>
          <t>EX-EDI-03</t>
        </is>
      </c>
      <c r="J111" s="5" t="inlineStr">
        <is>
          <t>§4.5</t>
        </is>
      </c>
      <c r="K111" s="5" t="inlineStr">
        <is>
          <t>BACK</t>
        </is>
      </c>
      <c r="L111" s="5" t="inlineStr">
        <is>
          <t>Must</t>
        </is>
      </c>
      <c r="M111" s="5" t="n">
        <v>8</v>
      </c>
      <c r="N111" s="5" t="inlineStr">
        <is>
          <t>L3-17, L3-27</t>
        </is>
      </c>
      <c r="O111" s="5" t="inlineStr">
        <is>
          <t>À faire</t>
        </is>
      </c>
      <c r="P111" s="5" t="inlineStr"/>
    </row>
    <row r="112">
      <c r="A112" s="5" t="inlineStr">
        <is>
          <t>L3-26</t>
        </is>
      </c>
      <c r="B112" s="5" t="inlineStr">
        <is>
          <t>L3</t>
        </is>
      </c>
      <c r="C112" s="5" t="inlineStr">
        <is>
          <t>E3.6</t>
        </is>
      </c>
      <c r="D112" s="5" t="inlineStr">
        <is>
          <t>Guidage de résolution</t>
        </is>
      </c>
      <c r="E112" s="5" t="inlineStr">
        <is>
          <t>Story</t>
        </is>
      </c>
      <c r="F112" s="5" t="inlineStr">
        <is>
          <t>UI suggestions et séances non placées</t>
        </is>
      </c>
      <c r="G112" s="5" t="inlineStr">
        <is>
          <t>Panneau des alternatives et liste des séances à placer.</t>
        </is>
      </c>
      <c r="H112" s="5" t="inlineStr">
        <is>
          <t>- Appliquer une suggestion déclenche le déplacement
- Une séance NON_PLACEE peut être placée par glisser-déposer
- La liste des séances à placer applique la règle des tokens : pastille sur Ivory uniquement, marqueur en ligne (icône map-pin-off et libellé « À placer ») sur Warm et Inset</t>
        </is>
      </c>
      <c r="I112" s="5" t="inlineStr">
        <is>
          <t>EX-EDI-03</t>
        </is>
      </c>
      <c r="J112" s="5" t="inlineStr">
        <is>
          <t>§4.5</t>
        </is>
      </c>
      <c r="K112" s="5" t="inlineStr">
        <is>
          <t>FRONT</t>
        </is>
      </c>
      <c r="L112" s="5" t="inlineStr">
        <is>
          <t>Must</t>
        </is>
      </c>
      <c r="M112" s="5" t="n">
        <v>5</v>
      </c>
      <c r="N112" s="5" t="inlineStr">
        <is>
          <t>L3-28, L3-25</t>
        </is>
      </c>
      <c r="O112" s="5" t="inlineStr">
        <is>
          <t>À faire</t>
        </is>
      </c>
      <c r="P112" s="5" t="inlineStr"/>
    </row>
    <row r="113">
      <c r="A113" s="5" t="inlineStr">
        <is>
          <t>L3-27</t>
        </is>
      </c>
      <c r="B113" s="5" t="inlineStr">
        <is>
          <t>L3</t>
        </is>
      </c>
      <c r="C113" s="5" t="inlineStr">
        <is>
          <t>E3.7</t>
        </is>
      </c>
      <c r="D113" s="5" t="inlineStr">
        <is>
          <t>Grille d'édition (UI)</t>
        </is>
      </c>
      <c r="E113" s="5" t="inlineStr">
        <is>
          <t>Story</t>
        </is>
      </c>
      <c r="F113" s="5" t="inlineStr">
        <is>
          <t>Évaluateurs de contraintes souples</t>
        </is>
      </c>
      <c r="G113" s="5" t="inlineStr">
        <is>
          <t>Sous-ensemble : heures consécutives, creux, plages à éviter, équilibre journalier.</t>
        </is>
      </c>
      <c r="H113" s="5" t="inlineStr">
        <is>
          <t>- Un score et un delta sont retournés à chaque déplacement
- Les contraintes sans évaluateur sont marquées « non évaluée »</t>
        </is>
      </c>
      <c r="I113" s="5" t="inlineStr">
        <is>
          <t>EX-CMP-02, EX-CTR-02</t>
        </is>
      </c>
      <c r="J113" s="5" t="inlineStr">
        <is>
          <t>§4.7, §0.3</t>
        </is>
      </c>
      <c r="K113" s="5" t="inlineStr">
        <is>
          <t>BACK</t>
        </is>
      </c>
      <c r="L113" s="5" t="inlineStr">
        <is>
          <t>Should</t>
        </is>
      </c>
      <c r="M113" s="5" t="n">
        <v>8</v>
      </c>
      <c r="N113" s="5" t="inlineStr">
        <is>
          <t>L3-03, L3-17</t>
        </is>
      </c>
      <c r="O113" s="5" t="inlineStr">
        <is>
          <t>À faire</t>
        </is>
      </c>
      <c r="P113" s="5" t="inlineStr"/>
    </row>
    <row r="114">
      <c r="A114" s="5" t="inlineStr">
        <is>
          <t>L3-28</t>
        </is>
      </c>
      <c r="B114" s="5" t="inlineStr">
        <is>
          <t>L3</t>
        </is>
      </c>
      <c r="C114" s="5" t="inlineStr">
        <is>
          <t>E3.7</t>
        </is>
      </c>
      <c r="D114" s="5" t="inlineStr">
        <is>
          <t>Grille d'édition (UI)</t>
        </is>
      </c>
      <c r="E114" s="5" t="inlineStr">
        <is>
          <t>Story</t>
        </is>
      </c>
      <c r="F114" s="5" t="inlineStr">
        <is>
          <t>Grille d'édition drag-and-drop</t>
        </is>
      </c>
      <c r="G114" s="5" t="inlineStr">
        <is>
          <t>Vues groupe, enseignant, salle avec dnd-kit, choix grille normale ou Ramadan.</t>
        </is>
      </c>
      <c r="H114" s="5" t="inlineStr">
        <is>
          <t>- Déplacement par glisser-déposer avec retour visuel immédiat et rollback en cas de 4xx
- Grille virtualisée pour 4 000 séances
- Lecture seule dans les états non éditables
- Les états des séances sont rendus par couleur, icône et libellé
- Hauteur de ligne de 28 px par tranche de 30 minutes (24 px en densité forte, 32 px en mode lecture), issue des tokens</t>
        </is>
      </c>
      <c r="I114" s="5" t="inlineStr">
        <is>
          <t>EX-EDI-01, EX-CAL-04</t>
        </is>
      </c>
      <c r="J114" s="5" t="inlineStr">
        <is>
          <t>§0.1, §5.4</t>
        </is>
      </c>
      <c r="K114" s="5" t="inlineStr">
        <is>
          <t>FRONT</t>
        </is>
      </c>
      <c r="L114" s="5" t="inlineStr">
        <is>
          <t>Must</t>
        </is>
      </c>
      <c r="M114" s="5" t="n">
        <v>13</v>
      </c>
      <c r="N114" s="5" t="inlineStr">
        <is>
          <t>L3-20, L3-11, L0-29, L1-22</t>
        </is>
      </c>
      <c r="O114" s="5" t="inlineStr">
        <is>
          <t>À faire</t>
        </is>
      </c>
      <c r="P114" s="5" t="inlineStr"/>
    </row>
    <row r="115">
      <c r="A115" s="5" t="inlineStr">
        <is>
          <t>L3-29</t>
        </is>
      </c>
      <c r="B115" s="5" t="inlineStr">
        <is>
          <t>L3</t>
        </is>
      </c>
      <c r="C115" s="5" t="inlineStr">
        <is>
          <t>E3.7</t>
        </is>
      </c>
      <c r="D115" s="5" t="inlineStr">
        <is>
          <t>Grille d'édition (UI)</t>
        </is>
      </c>
      <c r="E115" s="5" t="inlineStr">
        <is>
          <t>Story</t>
        </is>
      </c>
      <c r="F115" s="5" t="inlineStr">
        <is>
          <t>Panneau de conflits et simulation</t>
        </is>
      </c>
      <c r="G115" s="5" t="inlineStr">
        <is>
          <t>Conflits actifs, simulation au survol, détail des règles violées, sévérité.</t>
        </is>
      </c>
      <c r="H115" s="5" t="inlineStr">
        <is>
          <t>- La simulation s'affiche avant dépôt
- Les conflits sont filtrables par type et sévérité
- La classification opérationnelle des conflits est affichée</t>
        </is>
      </c>
      <c r="I115" s="5" t="inlineStr">
        <is>
          <t>EX-EDI-02, EX-EDI-03</t>
        </is>
      </c>
      <c r="J115" s="5" t="inlineStr">
        <is>
          <t>§3.4.9</t>
        </is>
      </c>
      <c r="K115" s="5" t="inlineStr">
        <is>
          <t>FRONT</t>
        </is>
      </c>
      <c r="L115" s="5" t="inlineStr">
        <is>
          <t>Must</t>
        </is>
      </c>
      <c r="M115" s="5" t="n">
        <v>8</v>
      </c>
      <c r="N115" s="5" t="inlineStr">
        <is>
          <t>L3-28, L3-21</t>
        </is>
      </c>
      <c r="O115" s="5" t="inlineStr">
        <is>
          <t>À faire</t>
        </is>
      </c>
      <c r="P115" s="5" t="inlineStr"/>
    </row>
    <row r="116">
      <c r="A116" s="5" t="inlineStr">
        <is>
          <t>L3-30</t>
        </is>
      </c>
      <c r="B116" s="5" t="inlineStr">
        <is>
          <t>L3</t>
        </is>
      </c>
      <c r="C116" s="5" t="inlineStr">
        <is>
          <t>E3.8</t>
        </is>
      </c>
      <c r="D116" s="5" t="inlineStr">
        <is>
          <t>Complétude &amp; impacts référentiel</t>
        </is>
      </c>
      <c r="E116" s="5" t="inlineStr">
        <is>
          <t>Story</t>
        </is>
      </c>
      <c r="F116" s="5" t="inlineStr">
        <is>
          <t>Couverture et complétude</t>
        </is>
      </c>
      <c r="G116" s="5" t="inlineStr">
        <is>
          <t>GET /versions/{id}/completude.</t>
        </is>
      </c>
      <c r="H116" s="5" t="inlineStr">
        <is>
          <t>- Attendu, placé et écart par affectation
- Seule une couverture exacte autorise le passage à PRET_POUR_VALIDATION</t>
        </is>
      </c>
      <c r="I116" s="5" t="inlineStr">
        <is>
          <t>EX-EDI-05</t>
        </is>
      </c>
      <c r="J116" s="5" t="inlineStr">
        <is>
          <t>§4.8</t>
        </is>
      </c>
      <c r="K116" s="5" t="inlineStr">
        <is>
          <t>BACK</t>
        </is>
      </c>
      <c r="L116" s="5" t="inlineStr">
        <is>
          <t>Must</t>
        </is>
      </c>
      <c r="M116" s="5" t="n">
        <v>5</v>
      </c>
      <c r="N116" s="5" t="inlineStr">
        <is>
          <t>L3-15</t>
        </is>
      </c>
      <c r="O116" s="5" t="inlineStr">
        <is>
          <t>À faire</t>
        </is>
      </c>
      <c r="P116" s="5" t="inlineStr"/>
    </row>
    <row r="117">
      <c r="A117" s="5" t="inlineStr">
        <is>
          <t>L3-31</t>
        </is>
      </c>
      <c r="B117" s="5" t="inlineStr">
        <is>
          <t>L3</t>
        </is>
      </c>
      <c r="C117" s="5" t="inlineStr">
        <is>
          <t>E3.8</t>
        </is>
      </c>
      <c r="D117" s="5" t="inlineStr">
        <is>
          <t>Complétude &amp; impacts référentiel</t>
        </is>
      </c>
      <c r="E117" s="5" t="inlineStr">
        <is>
          <t>Story</t>
        </is>
      </c>
      <c r="F117" s="5" t="inlineStr">
        <is>
          <t>UI couverture</t>
        </is>
      </c>
      <c r="G117" s="5" t="inlineStr">
        <is>
          <t>Tableau de couverture par affectation et département.</t>
        </is>
      </c>
      <c r="H117" s="5" t="inlineStr">
        <is>
          <t>- Écarts négatifs et positifs distingués
- Navigation vers les séances concernées</t>
        </is>
      </c>
      <c r="I117" s="5" t="inlineStr">
        <is>
          <t>EX-EDI-05</t>
        </is>
      </c>
      <c r="J117" s="5" t="inlineStr">
        <is>
          <t>§4.8</t>
        </is>
      </c>
      <c r="K117" s="5" t="inlineStr">
        <is>
          <t>FRONT</t>
        </is>
      </c>
      <c r="L117" s="5" t="inlineStr">
        <is>
          <t>Should</t>
        </is>
      </c>
      <c r="M117" s="5" t="n">
        <v>3</v>
      </c>
      <c r="N117" s="5" t="inlineStr">
        <is>
          <t>L3-30, L0-29</t>
        </is>
      </c>
      <c r="O117" s="5" t="inlineStr">
        <is>
          <t>À faire</t>
        </is>
      </c>
      <c r="P117" s="5" t="inlineStr"/>
    </row>
    <row r="118">
      <c r="A118" s="5" t="inlineStr">
        <is>
          <t>L3-32</t>
        </is>
      </c>
      <c r="B118" s="5" t="inlineStr">
        <is>
          <t>L3</t>
        </is>
      </c>
      <c r="C118" s="5" t="inlineStr">
        <is>
          <t>E3.8</t>
        </is>
      </c>
      <c r="D118" s="5" t="inlineStr">
        <is>
          <t>Complétude &amp; impacts référentiel</t>
        </is>
      </c>
      <c r="E118" s="5" t="inlineStr">
        <is>
          <t>Story</t>
        </is>
      </c>
      <c r="F118" s="5" t="inlineStr">
        <is>
          <t>Recalcul sur changement de référentiel</t>
        </is>
      </c>
      <c r="G118" s="5" t="inlineStr">
        <is>
          <t>Indisponibilité ajoutée, capacité ou effectif modifié.</t>
        </is>
      </c>
      <c r="H118" s="5" t="inlineStr">
        <is>
          <t>- Les conflits DISPONIBILITE ou CAPACITE sont recalculés sur les versions non publiées
- Aucune modification sur une version PUBLIE ou ARCHIVE</t>
        </is>
      </c>
      <c r="I118" s="5" t="inlineStr">
        <is>
          <t>EX-EDI-02</t>
        </is>
      </c>
      <c r="J118" s="5" t="inlineStr">
        <is>
          <t>§4.19</t>
        </is>
      </c>
      <c r="K118" s="5" t="inlineStr">
        <is>
          <t>BACK</t>
        </is>
      </c>
      <c r="L118" s="5" t="inlineStr">
        <is>
          <t>Must</t>
        </is>
      </c>
      <c r="M118" s="5" t="n">
        <v>5</v>
      </c>
      <c r="N118" s="5" t="inlineStr">
        <is>
          <t>L3-17, L1-20</t>
        </is>
      </c>
      <c r="O118" s="5" t="inlineStr">
        <is>
          <t>À faire</t>
        </is>
      </c>
      <c r="P118" s="5" t="inlineStr"/>
    </row>
    <row r="119">
      <c r="A119" s="5" t="inlineStr">
        <is>
          <t>L3-33</t>
        </is>
      </c>
      <c r="B119" s="5" t="inlineStr">
        <is>
          <t>L3</t>
        </is>
      </c>
      <c r="C119" s="5" t="inlineStr">
        <is>
          <t>E3.9</t>
        </is>
      </c>
      <c r="D119" s="5" t="inlineStr">
        <is>
          <t>Vœux des enseignants</t>
        </is>
      </c>
      <c r="E119" s="5" t="inlineStr">
        <is>
          <t>Story</t>
        </is>
      </c>
      <c r="F119" s="5" t="inlineStr">
        <is>
          <t>Vœux des enseignants (modèle et API)</t>
        </is>
      </c>
      <c r="G119" s="5" t="inlineStr">
        <is>
          <t>Vœux = contraintes souples nature VOEU par enseignant et par semestre.</t>
        </is>
      </c>
      <c r="H119" s="5" t="inlineStr">
        <is>
          <t>- Types : créneaux à éviter, jour libre souhaité, jours par semaine, heures par jour, creux
- Niveaux de poids FAIBLE 25, MOYEN 50, FORT 75, TRES_FORT 90 ; poids 100 refusé
- Saisie par le Gestionnaire ou l'Administrateur, commentaire facultatif, audit
- Avertissement si un vœu contredit une indisponibilité</t>
        </is>
      </c>
      <c r="I119" s="5" t="inlineStr">
        <is>
          <t>EX-CTR-03</t>
        </is>
      </c>
      <c r="J119" s="5" t="inlineStr">
        <is>
          <t>§4.11</t>
        </is>
      </c>
      <c r="K119" s="5" t="inlineStr">
        <is>
          <t>BACK</t>
        </is>
      </c>
      <c r="L119" s="5" t="inlineStr">
        <is>
          <t>Must</t>
        </is>
      </c>
      <c r="M119" s="5" t="n">
        <v>5</v>
      </c>
      <c r="N119" s="5" t="inlineStr">
        <is>
          <t>L3-03, L3-05</t>
        </is>
      </c>
      <c r="O119" s="5" t="inlineStr">
        <is>
          <t>À faire</t>
        </is>
      </c>
      <c r="P119" s="5" t="inlineStr"/>
    </row>
    <row r="120">
      <c r="A120" s="5" t="inlineStr">
        <is>
          <t>L3-34</t>
        </is>
      </c>
      <c r="B120" s="5" t="inlineStr">
        <is>
          <t>L3</t>
        </is>
      </c>
      <c r="C120" s="5" t="inlineStr">
        <is>
          <t>E3.9</t>
        </is>
      </c>
      <c r="D120" s="5" t="inlineStr">
        <is>
          <t>Vœux des enseignants</t>
        </is>
      </c>
      <c r="E120" s="5" t="inlineStr">
        <is>
          <t>Story</t>
        </is>
      </c>
      <c r="F120" s="5" t="inlineStr">
        <is>
          <t>UI de saisie des vœux</t>
        </is>
      </c>
      <c r="G120" s="5" t="inlineStr">
        <is>
          <t>Grille jour × créneau de 30 minutes par enseignant, avec niveau de préférence.</t>
        </is>
      </c>
      <c r="H120" s="5" t="inlineStr">
        <is>
          <t>- Trois états par plage : libre, à éviter (niveau), indisponible
- Sélection de plages multiples et copie des vœux d'un enseignant à un autre
- Récapitulatif par enseignant, filtre et recherche
- Les vœux et indisponibilités sont visuellement distincts</t>
        </is>
      </c>
      <c r="I120" s="5" t="inlineStr">
        <is>
          <t>EX-CTR-03</t>
        </is>
      </c>
      <c r="J120" s="5" t="inlineStr">
        <is>
          <t>§3.3</t>
        </is>
      </c>
      <c r="K120" s="5" t="inlineStr">
        <is>
          <t>FRONT</t>
        </is>
      </c>
      <c r="L120" s="5" t="inlineStr">
        <is>
          <t>Must</t>
        </is>
      </c>
      <c r="M120" s="5" t="n">
        <v>5</v>
      </c>
      <c r="N120" s="5" t="inlineStr">
        <is>
          <t>L3-33, L0-29</t>
        </is>
      </c>
      <c r="O120" s="5" t="inlineStr">
        <is>
          <t>À faire</t>
        </is>
      </c>
      <c r="P120" s="5" t="inlineStr"/>
    </row>
    <row r="121">
      <c r="A121" s="5" t="inlineStr">
        <is>
          <t>L3-35</t>
        </is>
      </c>
      <c r="B121" s="5" t="inlineStr">
        <is>
          <t>L3</t>
        </is>
      </c>
      <c r="C121" s="5" t="inlineStr">
        <is>
          <t>E3.9</t>
        </is>
      </c>
      <c r="D121" s="5" t="inlineStr">
        <is>
          <t>Vœux des enseignants</t>
        </is>
      </c>
      <c r="E121" s="5" t="inlineStr">
        <is>
          <t>Story</t>
        </is>
      </c>
      <c r="F121" s="5" t="inlineStr">
        <is>
          <t>Évaluateur de satisfaction des vœux</t>
        </is>
      </c>
      <c r="G121" s="5" t="inlineStr">
        <is>
          <t>Mesure du respect des vœux dans l'éditeur et la comparaison de générations.</t>
        </is>
      </c>
      <c r="H121" s="5" t="inlineStr">
        <is>
          <t>- Score par enseignant et global, delta à chaque déplacement
- Vœu non respecté signalé comme avertissement dans le panneau de conflits
- Résultat repris dans Generation.metrics</t>
        </is>
      </c>
      <c r="I121" s="5" t="inlineStr">
        <is>
          <t>EX-CTR-03, EX-CMP-02</t>
        </is>
      </c>
      <c r="J121" s="5" t="inlineStr">
        <is>
          <t>§4.7, §4.11</t>
        </is>
      </c>
      <c r="K121" s="5" t="inlineStr">
        <is>
          <t>BACK</t>
        </is>
      </c>
      <c r="L121" s="5" t="inlineStr">
        <is>
          <t>Should</t>
        </is>
      </c>
      <c r="M121" s="5" t="n">
        <v>3</v>
      </c>
      <c r="N121" s="5" t="inlineStr">
        <is>
          <t>L3-33, L3-27</t>
        </is>
      </c>
      <c r="O121" s="5" t="inlineStr">
        <is>
          <t>À faire</t>
        </is>
      </c>
      <c r="P121" s="5" t="inlineStr"/>
    </row>
    <row r="122">
      <c r="A122" s="5" t="inlineStr">
        <is>
          <t>L3-36</t>
        </is>
      </c>
      <c r="B122" s="5" t="inlineStr">
        <is>
          <t>L3</t>
        </is>
      </c>
      <c r="C122" s="5" t="inlineStr">
        <is>
          <t>E3.10</t>
        </is>
      </c>
      <c r="D122" s="5" t="inlineStr">
        <is>
          <t>Verrous</t>
        </is>
      </c>
      <c r="E122" s="5" t="inlineStr">
        <is>
          <t>Story</t>
        </is>
      </c>
      <c r="F122" s="5" t="inlineStr">
        <is>
          <t>Verrous par séance (modèle et API)</t>
        </is>
      </c>
      <c r="G122" s="5" t="inlineStr">
        <is>
          <t>VerrouSeance de type CRENEAU, SALLE, ENSEIGNANT, ACTIVITE ; levée avec historique.</t>
        </is>
      </c>
      <c r="H122" s="5" t="inlineStr">
        <is>
          <t>- Un verrou actif par (séance, type) (index partiel)
- Seuls le Gestionnaire et l'Administrateur posent et lèvent ; justification facultative
- La levée écrit leveLe et levePar ; le verrou levé reste en base
- Pose et levée auditées
- Les verrous suivent la séance dans new-revision et disparaissent avec elle</t>
        </is>
      </c>
      <c r="I122" s="5" t="inlineStr">
        <is>
          <t>EX-VRR-01</t>
        </is>
      </c>
      <c r="J122" s="5" t="inlineStr">
        <is>
          <t>§4.14, §3.4.18</t>
        </is>
      </c>
      <c r="K122" s="5" t="inlineStr">
        <is>
          <t>BACK</t>
        </is>
      </c>
      <c r="L122" s="5" t="inlineStr">
        <is>
          <t>Must</t>
        </is>
      </c>
      <c r="M122" s="5" t="n">
        <v>5</v>
      </c>
      <c r="N122" s="5" t="inlineStr">
        <is>
          <t>L3-10</t>
        </is>
      </c>
      <c r="O122" s="5" t="inlineStr">
        <is>
          <t>À faire</t>
        </is>
      </c>
      <c r="P122" s="5" t="inlineStr"/>
    </row>
    <row r="123">
      <c r="A123" s="5" t="inlineStr">
        <is>
          <t>L3-37</t>
        </is>
      </c>
      <c r="B123" s="5" t="inlineStr">
        <is>
          <t>L3</t>
        </is>
      </c>
      <c r="C123" s="5" t="inlineStr">
        <is>
          <t>E3.10</t>
        </is>
      </c>
      <c r="D123" s="5" t="inlineStr">
        <is>
          <t>Verrous</t>
        </is>
      </c>
      <c r="E123" s="5" t="inlineStr">
        <is>
          <t>Story</t>
        </is>
      </c>
      <c r="F123" s="5" t="inlineStr">
        <is>
          <t>Pose en masse et aperçu de levée</t>
        </is>
      </c>
      <c r="G123" s="5" t="inlineStr">
        <is>
          <t>POST /versions/{id}/verrous:bulk et DELETE /verrous/{id}?preview=true.</t>
        </is>
      </c>
      <c r="H123" s="5" t="inlineStr">
        <is>
          <t>- Pose en masse pour un groupe, un enseignant ou une salle
- La levée affiche son impact sur les générations futures avant confirmation</t>
        </is>
      </c>
      <c r="I123" s="5" t="inlineStr">
        <is>
          <t>EX-VRR-01</t>
        </is>
      </c>
      <c r="J123" s="5" t="inlineStr">
        <is>
          <t>§3.4.18, §4.14</t>
        </is>
      </c>
      <c r="K123" s="5" t="inlineStr">
        <is>
          <t>BACK</t>
        </is>
      </c>
      <c r="L123" s="5" t="inlineStr">
        <is>
          <t>Must</t>
        </is>
      </c>
      <c r="M123" s="5" t="n">
        <v>3</v>
      </c>
      <c r="N123" s="5" t="inlineStr">
        <is>
          <t>L3-36</t>
        </is>
      </c>
      <c r="O123" s="5" t="inlineStr">
        <is>
          <t>À faire</t>
        </is>
      </c>
      <c r="P123" s="5" t="inlineStr"/>
    </row>
    <row r="124">
      <c r="A124" s="5" t="inlineStr">
        <is>
          <t>L3-38</t>
        </is>
      </c>
      <c r="B124" s="5" t="inlineStr">
        <is>
          <t>L3</t>
        </is>
      </c>
      <c r="C124" s="5" t="inlineStr">
        <is>
          <t>E3.10</t>
        </is>
      </c>
      <c r="D124" s="5" t="inlineStr">
        <is>
          <t>Verrous</t>
        </is>
      </c>
      <c r="E124" s="5" t="inlineStr">
        <is>
          <t>Story</t>
        </is>
      </c>
      <c r="F124" s="5" t="inlineStr">
        <is>
          <t>UI des verrous</t>
        </is>
      </c>
      <c r="G124" s="5" t="inlineStr">
        <is>
          <t>Pose, pose en masse, levée avec aperçu et historique dans la grille.</t>
        </is>
      </c>
      <c r="H124" s="5" t="inlineStr">
        <is>
          <t>- Chaque type de verrou affiche son icône (lock-calendar, lock-room, lock-teacher, lock-activity) et son libellé accessible issus des tokens, en plus de la couleur
- Historique (utilisateur, date) consultable
- Pose en masse depuis les vues groupe, enseignant et salle</t>
        </is>
      </c>
      <c r="I124" s="5" t="inlineStr">
        <is>
          <t>EX-VRR-01</t>
        </is>
      </c>
      <c r="J124" s="5" t="inlineStr">
        <is>
          <t>§4.14</t>
        </is>
      </c>
      <c r="K124" s="5" t="inlineStr">
        <is>
          <t>FRONT</t>
        </is>
      </c>
      <c r="L124" s="5" t="inlineStr">
        <is>
          <t>Must</t>
        </is>
      </c>
      <c r="M124" s="5" t="n">
        <v>5</v>
      </c>
      <c r="N124" s="5" t="inlineStr">
        <is>
          <t>L3-37, L3-28</t>
        </is>
      </c>
      <c r="O124" s="5" t="inlineStr">
        <is>
          <t>À faire</t>
        </is>
      </c>
      <c r="P124" s="5" t="inlineStr"/>
    </row>
    <row r="125">
      <c r="A125" s="5" t="inlineStr">
        <is>
          <t>L3-39</t>
        </is>
      </c>
      <c r="B125" s="5" t="inlineStr">
        <is>
          <t>L3</t>
        </is>
      </c>
      <c r="C125" s="5" t="inlineStr">
        <is>
          <t>E3.11</t>
        </is>
      </c>
      <c r="D125" s="5" t="inlineStr">
        <is>
          <t>Avertissements acceptés</t>
        </is>
      </c>
      <c r="E125" s="5" t="inlineStr">
        <is>
          <t>Story</t>
        </is>
      </c>
      <c r="F125" s="5" t="inlineStr">
        <is>
          <t>Acceptation des avertissements (API)</t>
        </is>
      </c>
      <c r="G125" s="5" t="inlineStr">
        <is>
          <t>AvertissementAccepte, POST /versions/{id}/avertissements:accept, caducité par signature.</t>
        </is>
      </c>
      <c r="H125" s="5" t="inlineStr">
        <is>
          <t>- Aucun conflit bloquant ne peut être accepté (422 BLOCKING_NOT_ACCEPTABLE)
- L'impact est retourné avant confirmation
- L'acceptation est tracée (utilisateur, date, règle, version) et auditée
- L'acceptation devient caduque si la signature disparaît ou change
- La sévérité stockée du conflit n'est jamais modifiée</t>
        </is>
      </c>
      <c r="I125" s="5" t="inlineStr">
        <is>
          <t>EX-CTR-07</t>
        </is>
      </c>
      <c r="J125" s="5" t="inlineStr">
        <is>
          <t>§4.15, §3.4.19</t>
        </is>
      </c>
      <c r="K125" s="5" t="inlineStr">
        <is>
          <t>BACK</t>
        </is>
      </c>
      <c r="L125" s="5" t="inlineStr">
        <is>
          <t>Must</t>
        </is>
      </c>
      <c r="M125" s="5" t="n">
        <v>5</v>
      </c>
      <c r="N125" s="5" t="inlineStr">
        <is>
          <t>L3-16, L0-23</t>
        </is>
      </c>
      <c r="O125" s="5" t="inlineStr">
        <is>
          <t>À faire</t>
        </is>
      </c>
      <c r="P125" s="5" t="inlineStr"/>
    </row>
    <row r="126">
      <c r="A126" s="5" t="inlineStr">
        <is>
          <t>L3-40</t>
        </is>
      </c>
      <c r="B126" s="5" t="inlineStr">
        <is>
          <t>L3</t>
        </is>
      </c>
      <c r="C126" s="5" t="inlineStr">
        <is>
          <t>E3.11</t>
        </is>
      </c>
      <c r="D126" s="5" t="inlineStr">
        <is>
          <t>Avertissements acceptés</t>
        </is>
      </c>
      <c r="E126" s="5" t="inlineStr">
        <is>
          <t>Story</t>
        </is>
      </c>
      <c r="F126" s="5" t="inlineStr">
        <is>
          <t>UI des avertissements</t>
        </is>
      </c>
      <c r="G126" s="5" t="inlineStr">
        <is>
          <t>Liste des avertissements, acceptation par avertissement ou par règle, avec impact.</t>
        </is>
      </c>
      <c r="H126" s="5" t="inlineStr">
        <is>
          <t>- Les avertissements acceptés et non acceptés sont séparés
- L'impact est affiché avant confirmation
- Les avertissements acceptés restent visibles dans l'historique</t>
        </is>
      </c>
      <c r="I126" s="5" t="inlineStr">
        <is>
          <t>EX-CTR-07</t>
        </is>
      </c>
      <c r="J126" s="5" t="inlineStr">
        <is>
          <t>§4.15</t>
        </is>
      </c>
      <c r="K126" s="5" t="inlineStr">
        <is>
          <t>FRONT</t>
        </is>
      </c>
      <c r="L126" s="5" t="inlineStr">
        <is>
          <t>Must</t>
        </is>
      </c>
      <c r="M126" s="5" t="n">
        <v>3</v>
      </c>
      <c r="N126" s="5" t="inlineStr">
        <is>
          <t>L3-39, L3-29</t>
        </is>
      </c>
      <c r="O126" s="5" t="inlineStr">
        <is>
          <t>À faire</t>
        </is>
      </c>
      <c r="P126" s="5" t="inlineStr"/>
    </row>
    <row r="127">
      <c r="A127" s="5" t="inlineStr">
        <is>
          <t>L3-41</t>
        </is>
      </c>
      <c r="B127" s="5" t="inlineStr">
        <is>
          <t>L3</t>
        </is>
      </c>
      <c r="C127" s="5" t="inlineStr">
        <is>
          <t>E3.12</t>
        </is>
      </c>
      <c r="D127" s="5" t="inlineStr">
        <is>
          <t>Covoiturage &amp; exigences de salle</t>
        </is>
      </c>
      <c r="E127" s="5" t="inlineStr">
        <is>
          <t>Story</t>
        </is>
      </c>
      <c r="F127" s="5" t="inlineStr">
        <is>
          <t>Groupes de covoiturage (modèle, API, évaluateur)</t>
        </is>
      </c>
      <c r="G127" s="5" t="inlineStr">
        <is>
          <t>GroupeCovoiturage par semestre, marge, jours communs, option strict, évaluateur applicatif.</t>
        </is>
      </c>
      <c r="H127" s="5" t="inlineStr">
        <is>
          <t>- Marge par défaut 60 minutes, jours communs minimum configurables
- Souple par défaut ; strict produit un conflit bloquant CARPOOL_VIOLATION
- Évalué après import et en édition ; marqué NON_TRADUITE dans le rapport FET
- Duplication d'un semestre à l'autre</t>
        </is>
      </c>
      <c r="I127" s="5" t="inlineStr">
        <is>
          <t>EX-CTR-05</t>
        </is>
      </c>
      <c r="J127" s="5" t="inlineStr">
        <is>
          <t>§4.11, §4.3</t>
        </is>
      </c>
      <c r="K127" s="5" t="inlineStr">
        <is>
          <t>BACK</t>
        </is>
      </c>
      <c r="L127" s="5" t="inlineStr">
        <is>
          <t>Should</t>
        </is>
      </c>
      <c r="M127" s="5" t="n">
        <v>5</v>
      </c>
      <c r="N127" s="5" t="inlineStr">
        <is>
          <t>L3-03, L3-17</t>
        </is>
      </c>
      <c r="O127" s="5" t="inlineStr">
        <is>
          <t>À faire</t>
        </is>
      </c>
      <c r="P127" s="5" t="inlineStr"/>
    </row>
    <row r="128">
      <c r="A128" s="5" t="inlineStr">
        <is>
          <t>L3-42</t>
        </is>
      </c>
      <c r="B128" s="5" t="inlineStr">
        <is>
          <t>L3</t>
        </is>
      </c>
      <c r="C128" s="5" t="inlineStr">
        <is>
          <t>E3.12</t>
        </is>
      </c>
      <c r="D128" s="5" t="inlineStr">
        <is>
          <t>Covoiturage &amp; exigences de salle</t>
        </is>
      </c>
      <c r="E128" s="5" t="inlineStr">
        <is>
          <t>Story</t>
        </is>
      </c>
      <c r="F128" s="5" t="inlineStr">
        <is>
          <t>UI covoiturage</t>
        </is>
      </c>
      <c r="G128" s="5" t="inlineStr">
        <is>
          <t>Création des groupes, membres, marge et indicateur strict.</t>
        </is>
      </c>
      <c r="H128" s="5" t="inlineStr">
        <is>
          <t>- Au moins deux enseignants par groupe
- Le caractère souple ou strict est visible</t>
        </is>
      </c>
      <c r="I128" s="5" t="inlineStr">
        <is>
          <t>EX-CTR-05</t>
        </is>
      </c>
      <c r="J128" s="5" t="inlineStr">
        <is>
          <t>§3.3</t>
        </is>
      </c>
      <c r="K128" s="5" t="inlineStr">
        <is>
          <t>FRONT</t>
        </is>
      </c>
      <c r="L128" s="5" t="inlineStr">
        <is>
          <t>Should</t>
        </is>
      </c>
      <c r="M128" s="5" t="n">
        <v>3</v>
      </c>
      <c r="N128" s="5" t="inlineStr">
        <is>
          <t>L3-41, L0-29</t>
        </is>
      </c>
      <c r="O128" s="5" t="inlineStr">
        <is>
          <t>À faire</t>
        </is>
      </c>
      <c r="P128" s="5" t="inlineStr"/>
    </row>
    <row r="129">
      <c r="A129" s="5" t="inlineStr">
        <is>
          <t>L3-43</t>
        </is>
      </c>
      <c r="B129" s="5" t="inlineStr">
        <is>
          <t>L3</t>
        </is>
      </c>
      <c r="C129" s="5" t="inlineStr">
        <is>
          <t>E3.12</t>
        </is>
      </c>
      <c r="D129" s="5" t="inlineStr">
        <is>
          <t>Covoiturage &amp; exigences de salle</t>
        </is>
      </c>
      <c r="E129" s="5" t="inlineStr">
        <is>
          <t>Story</t>
        </is>
      </c>
      <c r="F129" s="5" t="inlineStr">
        <is>
          <t>Exigences de salle par activité</t>
        </is>
      </c>
      <c r="G129" s="5" t="inlineStr">
        <is>
          <t>ExigenceSalleActivite : salle imposée et liste de salles autorisées, par semestre et affectationKey.</t>
        </is>
      </c>
      <c r="H129" s="5" t="inlineStr">
        <is>
          <t>- Écriture réservée au Gestionnaire et à l'Administrateur ; le Responsable est en lecture
- Salle imposée : toute autre salle est bloquante (ROOM_NOT_ALLOWED)
- Liste autorisée : la salle doit être compatible par tag et figurer dans la liste
- Une exigence orpheline est signalée par un avertissement de préparation</t>
        </is>
      </c>
      <c r="I129" s="5" t="inlineStr">
        <is>
          <t>EX-ACT-04</t>
        </is>
      </c>
      <c r="J129" s="5" t="inlineStr">
        <is>
          <t>§4.11, §2.2</t>
        </is>
      </c>
      <c r="K129" s="5" t="inlineStr">
        <is>
          <t>BACK</t>
        </is>
      </c>
      <c r="L129" s="5" t="inlineStr">
        <is>
          <t>Must</t>
        </is>
      </c>
      <c r="M129" s="5" t="n">
        <v>5</v>
      </c>
      <c r="N129" s="5" t="inlineStr">
        <is>
          <t>L3-14, L3-09</t>
        </is>
      </c>
      <c r="O129" s="5" t="inlineStr">
        <is>
          <t>À faire</t>
        </is>
      </c>
      <c r="P129" s="5" t="inlineStr"/>
    </row>
    <row r="130">
      <c r="A130" s="5" t="inlineStr">
        <is>
          <t>L3-44</t>
        </is>
      </c>
      <c r="B130" s="5" t="inlineStr">
        <is>
          <t>L3</t>
        </is>
      </c>
      <c r="C130" s="5" t="inlineStr">
        <is>
          <t>E3.12</t>
        </is>
      </c>
      <c r="D130" s="5" t="inlineStr">
        <is>
          <t>Covoiturage &amp; exigences de salle</t>
        </is>
      </c>
      <c r="E130" s="5" t="inlineStr">
        <is>
          <t>Story</t>
        </is>
      </c>
      <c r="F130" s="5" t="inlineStr">
        <is>
          <t>UI des exigences de salle</t>
        </is>
      </c>
      <c r="G130" s="5" t="inlineStr">
        <is>
          <t>Choix d'une salle imposée ou d'une liste autorisée depuis une affectation ou une séance.</t>
        </is>
      </c>
      <c r="H130" s="5" t="inlineStr">
        <is>
          <t>- Indication des salles incompatibles et de la capacité
- Lecture seule pour le Responsable</t>
        </is>
      </c>
      <c r="I130" s="5" t="inlineStr">
        <is>
          <t>EX-ACT-04</t>
        </is>
      </c>
      <c r="J130" s="5" t="inlineStr">
        <is>
          <t>§3.3</t>
        </is>
      </c>
      <c r="K130" s="5" t="inlineStr">
        <is>
          <t>FRONT</t>
        </is>
      </c>
      <c r="L130" s="5" t="inlineStr">
        <is>
          <t>Should</t>
        </is>
      </c>
      <c r="M130" s="5" t="n">
        <v>3</v>
      </c>
      <c r="N130" s="5" t="inlineStr">
        <is>
          <t>L3-43, L0-29</t>
        </is>
      </c>
      <c r="O130" s="5" t="inlineStr">
        <is>
          <t>À faire</t>
        </is>
      </c>
      <c r="P130" s="5" t="inlineStr"/>
    </row>
    <row r="131">
      <c r="A131" s="5" t="inlineStr">
        <is>
          <t>L3-45</t>
        </is>
      </c>
      <c r="B131" s="5" t="inlineStr">
        <is>
          <t>L3</t>
        </is>
      </c>
      <c r="C131" s="5" t="inlineStr">
        <is>
          <t>E3.13</t>
        </is>
      </c>
      <c r="D131" s="5" t="inlineStr">
        <is>
          <t>Imports de planification</t>
        </is>
      </c>
      <c r="E131" s="5" t="inlineStr">
        <is>
          <t>Story</t>
        </is>
      </c>
      <c r="F131" s="5" t="inlineStr">
        <is>
          <t>Import des données de planification par le Gestionnaire</t>
        </is>
      </c>
      <c r="G131" s="5" t="inlineStr">
        <is>
          <t>Imports CSV et XLSX des indisponibilités, vœux, contraintes et groupes de covoiturage.</t>
        </is>
      </c>
      <c r="H131" s="5" t="inlineStr">
        <is>
          <t>- Mêmes règles que l'import de référentiel (simulation, rapport, aucun import partiel)
- Écriture réservée au Gestionnaire et à l'Administrateur</t>
        </is>
      </c>
      <c r="I131" s="5" t="inlineStr">
        <is>
          <t>EX-IMP-01</t>
        </is>
      </c>
      <c r="J131" s="5" t="inlineStr">
        <is>
          <t>§4.9</t>
        </is>
      </c>
      <c r="K131" s="5" t="inlineStr">
        <is>
          <t>BACK</t>
        </is>
      </c>
      <c r="L131" s="5" t="inlineStr">
        <is>
          <t>Should</t>
        </is>
      </c>
      <c r="M131" s="5" t="n">
        <v>5</v>
      </c>
      <c r="N131" s="5" t="inlineStr">
        <is>
          <t>L1-26, L3-33, L3-41, L3-03</t>
        </is>
      </c>
      <c r="O131" s="5" t="inlineStr">
        <is>
          <t>À faire</t>
        </is>
      </c>
      <c r="P131" s="5" t="inlineStr"/>
    </row>
    <row r="132">
      <c r="A132" s="5" t="inlineStr">
        <is>
          <t>L4-01</t>
        </is>
      </c>
      <c r="B132" s="5" t="inlineStr">
        <is>
          <t>L4</t>
        </is>
      </c>
      <c r="C132" s="5" t="inlineStr">
        <is>
          <t>E4.1</t>
        </is>
      </c>
      <c r="D132" s="5" t="inlineStr">
        <is>
          <t>Spike FET (S1)</t>
        </is>
      </c>
      <c r="E132" s="5" t="inlineStr">
        <is>
          <t>Spike</t>
        </is>
      </c>
      <c r="F132" s="5" t="inlineStr">
        <is>
          <t>Spike S1 : tests empiriques FET (analyse documentaire faite)</t>
        </is>
      </c>
      <c r="G132" s="5" t="inlineStr">
        <is>
          <t>L'analyse documentaire est terminée (ADR_S1_FET.md). Reste à valider sur FET 7.11.1 (Linux) avec le fichier de l'ISAMK, via s1_fet_tests.sh.</t>
        </is>
      </c>
      <c r="H132" s="5" t="inlineStr">
        <is>
          <t>- Capacité de salle contre effectif des groupes testée et résultat consigné
- Codes de sortie de fet-cl documentés (succès, impossible, limite de temps, SIGTERM)
- Durée d'écriture d'un résultat partiel mesurée et délai SIGKILL fixé
- Emplacement et déclencheur de sigwrite confirmés
- Positions imposées à 100 % sans passage à « impossible » testées
- ADR-S1 passé au statut Accepté et résultats ajoutés en section 7</t>
        </is>
      </c>
      <c r="I132" s="5" t="inlineStr">
        <is>
          <t>EX-MOT-04, EX-MOT-06</t>
        </is>
      </c>
      <c r="J132" s="5" t="inlineStr">
        <is>
          <t>§6.1, §4.6.4</t>
        </is>
      </c>
      <c r="K132" s="5" t="inlineStr">
        <is>
          <t>BACK</t>
        </is>
      </c>
      <c r="L132" s="5" t="inlineStr">
        <is>
          <t>Must</t>
        </is>
      </c>
      <c r="M132" s="5" t="n">
        <v>5</v>
      </c>
      <c r="N132" s="5" t="inlineStr"/>
      <c r="O132" s="5" t="inlineStr">
        <is>
          <t>À faire</t>
        </is>
      </c>
      <c r="P132" s="5" t="inlineStr"/>
    </row>
    <row r="133">
      <c r="A133" s="5" t="inlineStr">
        <is>
          <t>L4-02</t>
        </is>
      </c>
      <c r="B133" s="5" t="inlineStr">
        <is>
          <t>L4</t>
        </is>
      </c>
      <c r="C133" s="5" t="inlineStr">
        <is>
          <t>E4.2</t>
        </is>
      </c>
      <c r="D133" s="5" t="inlineStr">
        <is>
          <t>Port &amp; adaptateur FET</t>
        </is>
      </c>
      <c r="E133" s="5" t="inlineStr">
        <is>
          <t>Story</t>
        </is>
      </c>
      <c r="F133" s="5" t="inlineStr">
        <is>
          <t>Port SchedulingEngine et modèle neutre</t>
        </is>
      </c>
      <c r="G133" s="5" t="inlineStr">
        <is>
          <t>Interface SchedulingEngine, EngineInput neutre, describeCapabilities.</t>
        </is>
      </c>
      <c r="H133" s="5" t="inlineStr">
        <is>
          <t>- Le domaine ne dépend d'aucun type FET ni Prisma
- Un moteur futur n'implémente que le port</t>
        </is>
      </c>
      <c r="I133" s="5" t="inlineStr">
        <is>
          <t>EX-MOT-01, EX-PRI-01</t>
        </is>
      </c>
      <c r="J133" s="5" t="inlineStr">
        <is>
          <t>§1.6</t>
        </is>
      </c>
      <c r="K133" s="5" t="inlineStr">
        <is>
          <t>BACK</t>
        </is>
      </c>
      <c r="L133" s="5" t="inlineStr">
        <is>
          <t>Must</t>
        </is>
      </c>
      <c r="M133" s="5" t="n">
        <v>3</v>
      </c>
      <c r="N133" s="5" t="inlineStr">
        <is>
          <t>L0-03</t>
        </is>
      </c>
      <c r="O133" s="5" t="inlineStr">
        <is>
          <t>À faire</t>
        </is>
      </c>
      <c r="P133" s="5" t="inlineStr"/>
    </row>
    <row r="134">
      <c r="A134" s="5" t="inlineStr">
        <is>
          <t>L4-03</t>
        </is>
      </c>
      <c r="B134" s="5" t="inlineStr">
        <is>
          <t>L4</t>
        </is>
      </c>
      <c r="C134" s="5" t="inlineStr">
        <is>
          <t>E4.2</t>
        </is>
      </c>
      <c r="D134" s="5" t="inlineStr">
        <is>
          <t>Port &amp; adaptateur FET</t>
        </is>
      </c>
      <c r="E134" s="5" t="inlineStr">
        <is>
          <t>Story</t>
        </is>
      </c>
      <c r="F134" s="5" t="inlineStr">
        <is>
          <t>Construction du fichier FET : entités</t>
        </is>
      </c>
      <c r="G134" s="5" t="inlineStr">
        <is>
          <t>Activités, enseignants (identifiants techniques), groupes, salles, créneaux, Activity Tags.</t>
        </is>
      </c>
      <c r="H134" s="5" t="inlineStr">
        <is>
          <t>- Sérialisation déterministe, identique octet à octet pour les mêmes entrées
- Aucune identité en clair dans le fichier
- Test golden file sur jeu de données de l'ISAMK
- Périodes FET construites depuis les créneaux du semestre (jours × créneaux de 30 minutes) ; durée d'activité en nombre de créneaux</t>
        </is>
      </c>
      <c r="I134" s="5" t="inlineStr">
        <is>
          <t>EX-MOT-02</t>
        </is>
      </c>
      <c r="J134" s="5" t="inlineStr">
        <is>
          <t>§4.6.1, §4.6.2</t>
        </is>
      </c>
      <c r="K134" s="5" t="inlineStr">
        <is>
          <t>BACK</t>
        </is>
      </c>
      <c r="L134" s="5" t="inlineStr">
        <is>
          <t>Must</t>
        </is>
      </c>
      <c r="M134" s="5" t="n">
        <v>8</v>
      </c>
      <c r="N134" s="5" t="inlineStr">
        <is>
          <t>L4-02, L4-01, L3-09, L1-06</t>
        </is>
      </c>
      <c r="O134" s="5" t="inlineStr">
        <is>
          <t>À faire</t>
        </is>
      </c>
      <c r="P134" s="5" t="inlineStr"/>
    </row>
    <row r="135">
      <c r="A135" s="5" t="inlineStr">
        <is>
          <t>L4-04</t>
        </is>
      </c>
      <c r="B135" s="5" t="inlineStr">
        <is>
          <t>L4</t>
        </is>
      </c>
      <c r="C135" s="5" t="inlineStr">
        <is>
          <t>E4.2</t>
        </is>
      </c>
      <c r="D135" s="5" t="inlineStr">
        <is>
          <t>Port &amp; adaptateur FET</t>
        </is>
      </c>
      <c r="E135" s="5" t="inlineStr">
        <is>
          <t>Story</t>
        </is>
      </c>
      <c r="F135" s="5" t="inlineStr">
        <is>
          <t>Construction du fichier FET : contraintes dures</t>
        </is>
      </c>
      <c r="G135" s="5" t="inlineStr">
        <is>
          <t>Pauses, indisponibilités, compatibilités salles par tag, salle imposée, liste autorisée, espacement des séances.</t>
        </is>
      </c>
      <c r="H135" s="5" t="inlineStr">
        <is>
          <t>- Chaque contrainte dure active produit son équivalent FET
- Tests golden file par contrainte</t>
        </is>
      </c>
      <c r="I135" s="5" t="inlineStr">
        <is>
          <t>EX-MOT-02</t>
        </is>
      </c>
      <c r="J135" s="5" t="inlineStr">
        <is>
          <t>§4.6.2</t>
        </is>
      </c>
      <c r="K135" s="5" t="inlineStr">
        <is>
          <t>BACK</t>
        </is>
      </c>
      <c r="L135" s="5" t="inlineStr">
        <is>
          <t>Must</t>
        </is>
      </c>
      <c r="M135" s="5" t="n">
        <v>8</v>
      </c>
      <c r="N135" s="5" t="inlineStr">
        <is>
          <t>L4-03, L3-43, L3-08</t>
        </is>
      </c>
      <c r="O135" s="5" t="inlineStr">
        <is>
          <t>À faire</t>
        </is>
      </c>
      <c r="P135" s="5" t="inlineStr"/>
    </row>
    <row r="136">
      <c r="A136" s="5" t="inlineStr">
        <is>
          <t>L4-05</t>
        </is>
      </c>
      <c r="B136" s="5" t="inlineStr">
        <is>
          <t>L4</t>
        </is>
      </c>
      <c r="C136" s="5" t="inlineStr">
        <is>
          <t>E4.2</t>
        </is>
      </c>
      <c r="D136" s="5" t="inlineStr">
        <is>
          <t>Port &amp; adaptateur FET</t>
        </is>
      </c>
      <c r="E136" s="5" t="inlineStr">
        <is>
          <t>Story</t>
        </is>
      </c>
      <c r="F136" s="5" t="inlineStr">
        <is>
          <t>Construction du fichier FET : contraintes souples et verrous</t>
        </is>
      </c>
      <c r="G136" s="5" t="inlineStr">
        <is>
          <t>Poids %, positions imposées pour verrous créneau, salle et activité.</t>
        </is>
      </c>
      <c r="H136" s="5" t="inlineStr">
        <is>
          <t>- Poids convertis en pourcentage FET
- Verrou créneau, salle ou activité envoyé comme contrainte imposée à 100 % de poids
- Test : régénération partielle sans passage à « impossible »
- Les vœux sont traduits en contraintes souples à poids inférieur à 100 %, jamais 100 %
- Verrou enseignant et règles APPLICATION_ONLY non envoyés</t>
        </is>
      </c>
      <c r="I136" s="5" t="inlineStr">
        <is>
          <t>EX-MOT-02, EX-VRR-01</t>
        </is>
      </c>
      <c r="J136" s="5" t="inlineStr">
        <is>
          <t>§4.6.2, §4.14</t>
        </is>
      </c>
      <c r="K136" s="5" t="inlineStr">
        <is>
          <t>BACK</t>
        </is>
      </c>
      <c r="L136" s="5" t="inlineStr">
        <is>
          <t>Must</t>
        </is>
      </c>
      <c r="M136" s="5" t="n">
        <v>8</v>
      </c>
      <c r="N136" s="5" t="inlineStr">
        <is>
          <t>L4-04, L3-36, L3-33</t>
        </is>
      </c>
      <c r="O136" s="5" t="inlineStr">
        <is>
          <t>À faire</t>
        </is>
      </c>
      <c r="P136" s="5" t="inlineStr"/>
    </row>
    <row r="137">
      <c r="A137" s="5" t="inlineStr">
        <is>
          <t>L4-06</t>
        </is>
      </c>
      <c r="B137" s="5" t="inlineStr">
        <is>
          <t>L4</t>
        </is>
      </c>
      <c r="C137" s="5" t="inlineStr">
        <is>
          <t>E4.2</t>
        </is>
      </c>
      <c r="D137" s="5" t="inlineStr">
        <is>
          <t>Port &amp; adaptateur FET</t>
        </is>
      </c>
      <c r="E137" s="5" t="inlineStr">
        <is>
          <t>Story</t>
        </is>
      </c>
      <c r="F137" s="5" t="inlineStr">
        <is>
          <t>Rapport de traduction</t>
        </is>
      </c>
      <c r="G137" s="5" t="inlineStr">
        <is>
          <t>mappingReport TRADUITE, PARTIELLE, NON_TRADUITE et prévisualisation, règles traduites et règles contrôlées par l'application.</t>
        </is>
      </c>
      <c r="H137" s="5" t="inlineStr">
        <is>
          <t>- Chaque contrainte active a un statut
- GET /semestres/{id}/contraintes/fet-mapping retourne le rapport
- Les PARTIELLE ont une raison explicite
- Le rapport de génération distingue règles traduites dans le fichier et règles contrôlées par l'application</t>
        </is>
      </c>
      <c r="I137" s="5" t="inlineStr">
        <is>
          <t>EX-MOT-03, EX-PRI-02</t>
        </is>
      </c>
      <c r="J137" s="5" t="inlineStr">
        <is>
          <t>§4.6.3</t>
        </is>
      </c>
      <c r="K137" s="5" t="inlineStr">
        <is>
          <t>BACK</t>
        </is>
      </c>
      <c r="L137" s="5" t="inlineStr">
        <is>
          <t>Must</t>
        </is>
      </c>
      <c r="M137" s="5" t="n">
        <v>5</v>
      </c>
      <c r="N137" s="5" t="inlineStr">
        <is>
          <t>L4-04, L3-02</t>
        </is>
      </c>
      <c r="O137" s="5" t="inlineStr">
        <is>
          <t>À faire</t>
        </is>
      </c>
      <c r="P137" s="5" t="inlineStr"/>
    </row>
    <row r="138">
      <c r="A138" s="5" t="inlineStr">
        <is>
          <t>L4-07</t>
        </is>
      </c>
      <c r="B138" s="5" t="inlineStr">
        <is>
          <t>L4</t>
        </is>
      </c>
      <c r="C138" s="5" t="inlineStr">
        <is>
          <t>E4.3</t>
        </is>
      </c>
      <c r="D138" s="5" t="inlineStr">
        <is>
          <t>Worker de génération</t>
        </is>
      </c>
      <c r="E138" s="5" t="inlineStr">
        <is>
          <t>Story</t>
        </is>
      </c>
      <c r="F138" s="5" t="inlineStr">
        <is>
          <t>Worker idempotent sur la file PostgreSQL</t>
        </is>
      </c>
      <c r="G138" s="5" t="inlineStr">
        <is>
          <t>Consommation de la file pg-boss, claim, reprise des jobs orphelins, file d'échecs.</t>
        </is>
      </c>
      <c r="H138" s="5" t="inlineStr">
        <is>
          <t>- Un job tué est repris sans doublon
- File d'échecs après 3 tentatives avec alerte
- Un seul job actif par semestre</t>
        </is>
      </c>
      <c r="I138" s="5" t="inlineStr">
        <is>
          <t>EX-GEN-04, EX-GEN-05</t>
        </is>
      </c>
      <c r="J138" s="5" t="inlineStr">
        <is>
          <t>§4.6.4, §4.19</t>
        </is>
      </c>
      <c r="K138" s="5" t="inlineStr">
        <is>
          <t>BACK</t>
        </is>
      </c>
      <c r="L138" s="5" t="inlineStr">
        <is>
          <t>Must</t>
        </is>
      </c>
      <c r="M138" s="5" t="n">
        <v>8</v>
      </c>
      <c r="N138" s="5" t="inlineStr">
        <is>
          <t>L0-07</t>
        </is>
      </c>
      <c r="O138" s="5" t="inlineStr">
        <is>
          <t>À faire</t>
        </is>
      </c>
      <c r="P138" s="5" t="inlineStr"/>
    </row>
    <row r="139">
      <c r="A139" s="5" t="inlineStr">
        <is>
          <t>L4-08</t>
        </is>
      </c>
      <c r="B139" s="5" t="inlineStr">
        <is>
          <t>L4</t>
        </is>
      </c>
      <c r="C139" s="5" t="inlineStr">
        <is>
          <t>E4.3</t>
        </is>
      </c>
      <c r="D139" s="5" t="inlineStr">
        <is>
          <t>Worker de génération</t>
        </is>
      </c>
      <c r="E139" s="5" t="inlineStr">
        <is>
          <t>Story</t>
        </is>
      </c>
      <c r="F139" s="5" t="inlineStr">
        <is>
          <t>Exécution isolée de fet-cl</t>
        </is>
      </c>
      <c r="G139" s="5" t="inlineStr">
        <is>
          <t>Sous-processus fet-cl en version épinglée 7.11.1, outputdir dédié, arrêt ordonné.</t>
        </is>
      </c>
      <c r="H139" s="5" t="inlineStr">
        <is>
          <t>- Conteneur sans réseau sortant, système de fichiers en lecture seule, non-root, limites CPU et mémoire
- Arrêt par SIGTERM (écriture du résultat partiel) puis SIGKILL après un délai configurable (30 s par défaut)
- Dépassement du délai : résultat partiel récupéré s'il existe
- Un outputdir propre à chaque job, sorties inutiles désactivées, six graines --randomseeds10/11/12/20/21/22 fournies (--randomseedx/y refusés)
- Binaire FET 7.11.1 épinglé par empreinte
- Issue lue dans logs/result.txt (le code de sortie 0 couvre aussi Impossible et Time exceeded), sigwrite résiduel supprimé avant le lancement, délai de garde externe</t>
        </is>
      </c>
      <c r="I139" s="5" t="inlineStr">
        <is>
          <t>EX-MOT-04, EX-MOT-06</t>
        </is>
      </c>
      <c r="J139" s="5" t="inlineStr">
        <is>
          <t>§4.6.4</t>
        </is>
      </c>
      <c r="K139" s="5" t="inlineStr">
        <is>
          <t>BACK</t>
        </is>
      </c>
      <c r="L139" s="5" t="inlineStr">
        <is>
          <t>Must</t>
        </is>
      </c>
      <c r="M139" s="5" t="n">
        <v>8</v>
      </c>
      <c r="N139" s="5" t="inlineStr">
        <is>
          <t>L4-07, L4-01</t>
        </is>
      </c>
      <c r="O139" s="5" t="inlineStr">
        <is>
          <t>À faire</t>
        </is>
      </c>
      <c r="P139" s="5" t="inlineStr"/>
    </row>
    <row r="140">
      <c r="A140" s="5" t="inlineStr">
        <is>
          <t>L4-09</t>
        </is>
      </c>
      <c r="B140" s="5" t="inlineStr">
        <is>
          <t>L4</t>
        </is>
      </c>
      <c r="C140" s="5" t="inlineStr">
        <is>
          <t>E4.3</t>
        </is>
      </c>
      <c r="D140" s="5" t="inlineStr">
        <is>
          <t>Worker de génération</t>
        </is>
      </c>
      <c r="E140" s="5" t="inlineStr">
        <is>
          <t>Story</t>
        </is>
      </c>
      <c r="F140" s="5" t="inlineStr">
        <is>
          <t>Import du résultat et métriques</t>
        </is>
      </c>
      <c r="G140" s="5" t="inlineStr">
        <is>
          <t>Import du meilleur état, y compris partiel, avec séances NON_PLACEE ; échec conservé pour diagnostic.</t>
        </is>
      </c>
      <c r="H140" s="5" t="inlineStr">
        <is>
          <t>- Chaque activité est appariée par affectationKey et rang
- Résultat partiel (limite de temps, génération impossible, SIGTERM) importé : séances absentes créées NON_PLACEE, statut SUCCEEDED_WITH_WARNINGS, metrics.cause renseignée
- Sans sortie exploitable : FAILED avec les dernières lignes du journal, génération conservée, version de travail intacte
- Conflits détectés listés après passage du ConflictEngine</t>
        </is>
      </c>
      <c r="I140" s="5" t="inlineStr">
        <is>
          <t>EX-MOT-05, EX-GEN-07</t>
        </is>
      </c>
      <c r="J140" s="5" t="inlineStr">
        <is>
          <t>§4.6.5, §4.6.1</t>
        </is>
      </c>
      <c r="K140" s="5" t="inlineStr">
        <is>
          <t>BACK</t>
        </is>
      </c>
      <c r="L140" s="5" t="inlineStr">
        <is>
          <t>Must</t>
        </is>
      </c>
      <c r="M140" s="5" t="n">
        <v>8</v>
      </c>
      <c r="N140" s="5" t="inlineStr">
        <is>
          <t>L4-08, L3-17</t>
        </is>
      </c>
      <c r="O140" s="5" t="inlineStr">
        <is>
          <t>À faire</t>
        </is>
      </c>
      <c r="P140" s="5" t="inlineStr"/>
    </row>
    <row r="141">
      <c r="A141" s="5" t="inlineStr">
        <is>
          <t>L4-10</t>
        </is>
      </c>
      <c r="B141" s="5" t="inlineStr">
        <is>
          <t>L4</t>
        </is>
      </c>
      <c r="C141" s="5" t="inlineStr">
        <is>
          <t>E4.4</t>
        </is>
      </c>
      <c r="D141" s="5" t="inlineStr">
        <is>
          <t>Profils de génération</t>
        </is>
      </c>
      <c r="E141" s="5" t="inlineStr">
        <is>
          <t>Story</t>
        </is>
      </c>
      <c r="F141" s="5" t="inlineStr">
        <is>
          <t>Profils de génération versionnés (modèle et API)</t>
        </is>
      </c>
      <c r="G141" s="5" t="inlineStr">
        <is>
          <t>ProfilGeneration : durée limite, préservation des verrous, versions du moteur et du constructeur, graines, poids du score ; profil par défaut du semestre.</t>
        </is>
      </c>
      <c r="H141" s="5" t="inlineStr">
        <is>
          <t>- Un profil utilisé par une génération est immuable ; le modifier crée la version suivante (CONFIG_IN_USE)
- Création et modification par le Gestionnaire et l'Administrateur
- Un profil par défaut peut être défini par semestre
- Chaque génération enregistre le profil, sa version et une copie de ses valeurs</t>
        </is>
      </c>
      <c r="I141" s="5" t="inlineStr">
        <is>
          <t>EX-GEN-01</t>
        </is>
      </c>
      <c r="J141" s="5" t="inlineStr">
        <is>
          <t>§2.2, §3.3</t>
        </is>
      </c>
      <c r="K141" s="5" t="inlineStr">
        <is>
          <t>BACK</t>
        </is>
      </c>
      <c r="L141" s="5" t="inlineStr">
        <is>
          <t>Must</t>
        </is>
      </c>
      <c r="M141" s="5" t="n">
        <v>5</v>
      </c>
      <c r="N141" s="5" t="inlineStr">
        <is>
          <t>L1-01, L0-23</t>
        </is>
      </c>
      <c r="O141" s="5" t="inlineStr">
        <is>
          <t>À faire</t>
        </is>
      </c>
      <c r="P141" s="5" t="inlineStr"/>
    </row>
    <row r="142">
      <c r="A142" s="5" t="inlineStr">
        <is>
          <t>L4-11</t>
        </is>
      </c>
      <c r="B142" s="5" t="inlineStr">
        <is>
          <t>L4</t>
        </is>
      </c>
      <c r="C142" s="5" t="inlineStr">
        <is>
          <t>E4.4</t>
        </is>
      </c>
      <c r="D142" s="5" t="inlineStr">
        <is>
          <t>Profils de génération</t>
        </is>
      </c>
      <c r="E142" s="5" t="inlineStr">
        <is>
          <t>Story</t>
        </is>
      </c>
      <c r="F142" s="5" t="inlineStr">
        <is>
          <t>UI des profils de génération</t>
        </is>
      </c>
      <c r="G142" s="5" t="inlineStr">
        <is>
          <t>Création, nouvelle version, profil par défaut, poids du score.</t>
        </is>
      </c>
      <c r="H142" s="5" t="inlineStr">
        <is>
          <t>- Les poids des critères sont éditables avec leur total
- Un profil utilisé est présenté en lecture seule avec « nouvelle version »</t>
        </is>
      </c>
      <c r="I142" s="5" t="inlineStr">
        <is>
          <t>EX-GEN-01</t>
        </is>
      </c>
      <c r="J142" s="5" t="inlineStr">
        <is>
          <t>§3.3</t>
        </is>
      </c>
      <c r="K142" s="5" t="inlineStr">
        <is>
          <t>FRONT</t>
        </is>
      </c>
      <c r="L142" s="5" t="inlineStr">
        <is>
          <t>Should</t>
        </is>
      </c>
      <c r="M142" s="5" t="n">
        <v>3</v>
      </c>
      <c r="N142" s="5" t="inlineStr">
        <is>
          <t>L4-10, L0-29</t>
        </is>
      </c>
      <c r="O142" s="5" t="inlineStr">
        <is>
          <t>À faire</t>
        </is>
      </c>
      <c r="P142" s="5" t="inlineStr"/>
    </row>
    <row r="143">
      <c r="A143" s="5" t="inlineStr">
        <is>
          <t>L4-12</t>
        </is>
      </c>
      <c r="B143" s="5" t="inlineStr">
        <is>
          <t>L4</t>
        </is>
      </c>
      <c r="C143" s="5" t="inlineStr">
        <is>
          <t>E4.5</t>
        </is>
      </c>
      <c r="D143" s="5" t="inlineStr">
        <is>
          <t>Préparation et périmètre</t>
        </is>
      </c>
      <c r="E143" s="5" t="inlineStr">
        <is>
          <t>Story</t>
        </is>
      </c>
      <c r="F143" s="5" t="inlineStr">
        <is>
          <t>Tableau de préparation du semestre</t>
        </is>
      </c>
      <c r="G143" s="5" t="inlineStr">
        <is>
          <t>GET /semestres/{id}/preparation : contrôles avant génération avec niveau, objet, règle, explication, action et lien.</t>
        </is>
      </c>
      <c r="H143" s="5" t="inlineStr">
        <is>
          <t>- Contrôles : grille, groupes valides, enseignants, salles et modules, répartitions validées (n/m), volumes couverts, verrous, exigences de salle, règles générales, indisponibilités et vœux, profil
- Chaque anomalie indique son niveau (bloquant, avertissement, information), l'objet, le département, l'activité et la règle
- Lien vers l'écran de correction pour chaque anomalie
- Filtrable par département, enseignant, groupe, salle, activité et règle
- Mêmes contrôles réutilisés par le lancement de génération</t>
        </is>
      </c>
      <c r="I143" s="5" t="inlineStr">
        <is>
          <t>EX-GEN-03</t>
        </is>
      </c>
      <c r="J143" s="5" t="inlineStr">
        <is>
          <t>§4.12</t>
        </is>
      </c>
      <c r="K143" s="5" t="inlineStr">
        <is>
          <t>FULL</t>
        </is>
      </c>
      <c r="L143" s="5" t="inlineStr">
        <is>
          <t>Must</t>
        </is>
      </c>
      <c r="M143" s="5" t="n">
        <v>8</v>
      </c>
      <c r="N143" s="5" t="inlineStr">
        <is>
          <t>L2-12, L1-18, L3-05, L3-36, L3-43, L4-10</t>
        </is>
      </c>
      <c r="O143" s="5" t="inlineStr">
        <is>
          <t>À faire</t>
        </is>
      </c>
      <c r="P143" s="5" t="inlineStr"/>
    </row>
    <row r="144">
      <c r="A144" s="5" t="inlineStr">
        <is>
          <t>L4-13</t>
        </is>
      </c>
      <c r="B144" s="5" t="inlineStr">
        <is>
          <t>L4</t>
        </is>
      </c>
      <c r="C144" s="5" t="inlineStr">
        <is>
          <t>E4.5</t>
        </is>
      </c>
      <c r="D144" s="5" t="inlineStr">
        <is>
          <t>Préparation et périmètre</t>
        </is>
      </c>
      <c r="E144" s="5" t="inlineStr">
        <is>
          <t>Story</t>
        </is>
      </c>
      <c r="F144" s="5" t="inlineStr">
        <is>
          <t>Périmètre explicite et empreinte</t>
        </is>
      </c>
      <c r="G144" s="5" t="inlineStr">
        <is>
          <t>GET /versions/{id}/perimetre : périmètre figé du semestre complet et empreinte ; refus du lancement si les données ont changé.</t>
        </is>
      </c>
      <c r="H144" s="5" t="inlineStr">
        <is>
          <t>- Le périmètre affiche année, semestre, départements, activités, groupes, enseignants, salles, contraintes, verrous, profil, version du jeu de règles et de l'adaptateur
- Il n'est ni réductible ni modifiable en v1.0
- Le lancement exige l'empreinte affichée (409 PERIMETER_CHANGED sinon)
- Le périmètre figé est enregistré avec la génération</t>
        </is>
      </c>
      <c r="I144" s="5" t="inlineStr">
        <is>
          <t>EX-GEN-02</t>
        </is>
      </c>
      <c r="J144" s="5" t="inlineStr">
        <is>
          <t>§4.12, §3.4.5</t>
        </is>
      </c>
      <c r="K144" s="5" t="inlineStr">
        <is>
          <t>BACK</t>
        </is>
      </c>
      <c r="L144" s="5" t="inlineStr">
        <is>
          <t>Must</t>
        </is>
      </c>
      <c r="M144" s="5" t="n">
        <v>5</v>
      </c>
      <c r="N144" s="5" t="inlineStr">
        <is>
          <t>L4-12, L3-09</t>
        </is>
      </c>
      <c r="O144" s="5" t="inlineStr">
        <is>
          <t>À faire</t>
        </is>
      </c>
      <c r="P144" s="5" t="inlineStr"/>
    </row>
    <row r="145">
      <c r="A145" s="5" t="inlineStr">
        <is>
          <t>L4-14</t>
        </is>
      </c>
      <c r="B145" s="5" t="inlineStr">
        <is>
          <t>L4</t>
        </is>
      </c>
      <c r="C145" s="5" t="inlineStr">
        <is>
          <t>E4.6</t>
        </is>
      </c>
      <c r="D145" s="5" t="inlineStr">
        <is>
          <t>API de génération</t>
        </is>
      </c>
      <c r="E145" s="5" t="inlineStr">
        <is>
          <t>Story</t>
        </is>
      </c>
      <c r="F145" s="5" t="inlineStr">
        <is>
          <t>Lancement de génération</t>
        </is>
      </c>
      <c r="G145" s="5" t="inlineStr">
        <is>
          <t>POST /versions/{id}/generations (202).</t>
        </is>
      </c>
      <c r="H145" s="5" t="inlineStr">
        <is>
          <t>- Pré-validation synchrone : préparation, verrous, contraintes, empreinte du périmètre
- 422 UNTRANSLATED_CONSTRAINTS_UNACKNOWLEDGED sans acquittement, 422 LOCK_INCOMPATIBLE, 422 PREPARATION_BLOCKED
- 409 GENERATION_ALREADY_RUNNING, 423 si version immuable ou bail détenu
- Une modification de répartition pendant une génération n'a aucun effet sur elle</t>
        </is>
      </c>
      <c r="I145" s="5" t="inlineStr">
        <is>
          <t>EX-GEN-04, EX-GEN-05, EX-GEN-02</t>
        </is>
      </c>
      <c r="J145" s="5" t="inlineStr">
        <is>
          <t>§3.4.5, §4.6.1</t>
        </is>
      </c>
      <c r="K145" s="5" t="inlineStr">
        <is>
          <t>BACK</t>
        </is>
      </c>
      <c r="L145" s="5" t="inlineStr">
        <is>
          <t>Must</t>
        </is>
      </c>
      <c r="M145" s="5" t="n">
        <v>5</v>
      </c>
      <c r="N145" s="5" t="inlineStr">
        <is>
          <t>L4-06, L4-07, L3-19, L4-13, L4-10</t>
        </is>
      </c>
      <c r="O145" s="5" t="inlineStr">
        <is>
          <t>À faire</t>
        </is>
      </c>
      <c r="P145" s="5" t="inlineStr"/>
    </row>
    <row r="146">
      <c r="A146" s="5" t="inlineStr">
        <is>
          <t>L4-15</t>
        </is>
      </c>
      <c r="B146" s="5" t="inlineStr">
        <is>
          <t>L4</t>
        </is>
      </c>
      <c r="C146" s="5" t="inlineStr">
        <is>
          <t>E4.6</t>
        </is>
      </c>
      <c r="D146" s="5" t="inlineStr">
        <is>
          <t>API de génération</t>
        </is>
      </c>
      <c r="E146" s="5" t="inlineStr">
        <is>
          <t>Story</t>
        </is>
      </c>
      <c r="F146" s="5" t="inlineStr">
        <is>
          <t>Suivi, annulation et fichier moteur</t>
        </is>
      </c>
      <c r="G146" s="5" t="inlineStr">
        <is>
          <t>Suivi par SSE, annulation, téléchargement du fichier moteur ; progression via le fichier sigwrite.</t>
        </is>
      </c>
      <c r="H146" s="5" t="inlineStr">
        <is>
          <t>- Les événements status, progress et done sont émis
- Progression : le worker dépose périodiquement sigwrite et compte les activités placées ; si indisponible, phase et elapsedSeconds seulement
- Le fichier moteur se télécharge par URL signée courte, avec empreinte et version de FET
- Durée, journal d'exécution et informations techniques conservés</t>
        </is>
      </c>
      <c r="I146" s="5" t="inlineStr">
        <is>
          <t>EX-GEN-04, EX-GEN-06</t>
        </is>
      </c>
      <c r="J146" s="5" t="inlineStr">
        <is>
          <t>§3.5, §4.6.7</t>
        </is>
      </c>
      <c r="K146" s="5" t="inlineStr">
        <is>
          <t>BACK</t>
        </is>
      </c>
      <c r="L146" s="5" t="inlineStr">
        <is>
          <t>Must</t>
        </is>
      </c>
      <c r="M146" s="5" t="n">
        <v>8</v>
      </c>
      <c r="N146" s="5" t="inlineStr">
        <is>
          <t>L4-14</t>
        </is>
      </c>
      <c r="O146" s="5" t="inlineStr">
        <is>
          <t>À faire</t>
        </is>
      </c>
      <c r="P146" s="5" t="inlineStr"/>
    </row>
    <row r="147">
      <c r="A147" s="5" t="inlineStr">
        <is>
          <t>L4-16</t>
        </is>
      </c>
      <c r="B147" s="5" t="inlineStr">
        <is>
          <t>L4</t>
        </is>
      </c>
      <c r="C147" s="5" t="inlineStr">
        <is>
          <t>E4.6</t>
        </is>
      </c>
      <c r="D147" s="5" t="inlineStr">
        <is>
          <t>API de génération</t>
        </is>
      </c>
      <c r="E147" s="5" t="inlineStr">
        <is>
          <t>Story</t>
        </is>
      </c>
      <c r="F147" s="5" t="inlineStr">
        <is>
          <t>Export du fichier moteur et import d'un résultat manuel</t>
        </is>
      </c>
      <c r="G147" s="5" t="inlineStr">
        <is>
          <t>POST /versions/{id}/generations/import : résultat d'un fichier exporté et relancé à la main dans FET.</t>
        </is>
      </c>
      <c r="H147" s="5" t="inlineStr">
        <is>
          <t>- L'empreinte du fichier exporté est vérifiée (422 ENGINE_FILE_MISMATCH sinon)
- La génération porte le mode MANUELLE et référence l'empreinte
- Elle se compare et s'adopte comme une génération automatique, sans graines reproductibles
- L'import de structure depuis un fichier FET externe n'est pas proposé</t>
        </is>
      </c>
      <c r="I147" s="5" t="inlineStr">
        <is>
          <t>EX-MOT-07</t>
        </is>
      </c>
      <c r="J147" s="5" t="inlineStr">
        <is>
          <t>§4.6.7, §3.4.22</t>
        </is>
      </c>
      <c r="K147" s="5" t="inlineStr">
        <is>
          <t>BACK</t>
        </is>
      </c>
      <c r="L147" s="5" t="inlineStr">
        <is>
          <t>Should</t>
        </is>
      </c>
      <c r="M147" s="5" t="n">
        <v>5</v>
      </c>
      <c r="N147" s="5" t="inlineStr">
        <is>
          <t>L4-15, L4-09</t>
        </is>
      </c>
      <c r="O147" s="5" t="inlineStr">
        <is>
          <t>À faire</t>
        </is>
      </c>
      <c r="P147" s="5" t="inlineStr"/>
    </row>
    <row r="148">
      <c r="A148" s="5" t="inlineStr">
        <is>
          <t>L4-17</t>
        </is>
      </c>
      <c r="B148" s="5" t="inlineStr">
        <is>
          <t>L4</t>
        </is>
      </c>
      <c r="C148" s="5" t="inlineStr">
        <is>
          <t>E4.7</t>
        </is>
      </c>
      <c r="D148" s="5" t="inlineStr">
        <is>
          <t>Comparaison &amp; adoption</t>
        </is>
      </c>
      <c r="E148" s="5" t="inlineStr">
        <is>
          <t>Story</t>
        </is>
      </c>
      <c r="F148" s="5" t="inlineStr">
        <is>
          <t>Métriques de génération et score 0-100</t>
        </is>
      </c>
      <c r="G148" s="5" t="inlineStr">
        <is>
          <t>Utilisation des salles, répartition temporelle, creux, score normalisé par critère, renormalisation des poids.</t>
        </is>
      </c>
      <c r="H148" s="5" t="inlineStr">
        <is>
          <t>- Métriques et score calculés à l'import et mis en cache dans Generation.metrics
- Chaque critère reçoit un sous-score de 0 à 100 ; le score global est la moyenne pondérée par les poids du profil
- Un critère non évaluable est exclu et les poids sont renormalisés ; la liste des critères pris en compte est renvoyée
- Reproductibilité tracée : paramètres, six graines, snapshots, version de FET, sha256 du fichier
- Le score souple est lu dans le fichier _soft_conflicts.txt de chaque exécution ; en multi-graines, la meilleure génération est retenue selon Total soft conflicts
- Une génération avec conflit bloquant ou séance non placée est exclue du classement mais conservée</t>
        </is>
      </c>
      <c r="I148" s="5" t="inlineStr">
        <is>
          <t>EX-CMP-02, EX-GEN-06, EX-MOT-06</t>
        </is>
      </c>
      <c r="J148" s="5" t="inlineStr">
        <is>
          <t>§4.7, §4.6.6</t>
        </is>
      </c>
      <c r="K148" s="5" t="inlineStr">
        <is>
          <t>BACK</t>
        </is>
      </c>
      <c r="L148" s="5" t="inlineStr">
        <is>
          <t>Must</t>
        </is>
      </c>
      <c r="M148" s="5" t="n">
        <v>8</v>
      </c>
      <c r="N148" s="5" t="inlineStr">
        <is>
          <t>L4-09, L3-27, L3-35, L3-41</t>
        </is>
      </c>
      <c r="O148" s="5" t="inlineStr">
        <is>
          <t>À faire</t>
        </is>
      </c>
      <c r="P148" s="5" t="inlineStr"/>
    </row>
    <row r="149">
      <c r="A149" s="5" t="inlineStr">
        <is>
          <t>L4-18</t>
        </is>
      </c>
      <c r="B149" s="5" t="inlineStr">
        <is>
          <t>L4</t>
        </is>
      </c>
      <c r="C149" s="5" t="inlineStr">
        <is>
          <t>E4.7</t>
        </is>
      </c>
      <c r="D149" s="5" t="inlineStr">
        <is>
          <t>Comparaison &amp; adoption</t>
        </is>
      </c>
      <c r="E149" s="5" t="inlineStr">
        <is>
          <t>Story</t>
        </is>
      </c>
      <c r="F149" s="5" t="inlineStr">
        <is>
          <t>Comparaison et diff de générations</t>
        </is>
      </c>
      <c r="G149" s="5" t="inlineStr">
        <is>
          <t>GET /generations/compare?ids= (2 à 4).</t>
        </is>
      </c>
      <c r="H149" s="5" t="inlineStr">
        <is>
          <t>- 400 hors 2–4 identifiants, 422 si snapshots différents
- Appariement par affectationKey#rang
- Séances identiques, déplacées, changées de salle ou d'enseignant, conflits apparus ou disparus, verrous respectés ou non, contraintes satisfaites ou non</t>
        </is>
      </c>
      <c r="I149" s="5" t="inlineStr">
        <is>
          <t>EX-CMP-01</t>
        </is>
      </c>
      <c r="J149" s="5" t="inlineStr">
        <is>
          <t>§4.7, §3.4.7</t>
        </is>
      </c>
      <c r="K149" s="5" t="inlineStr">
        <is>
          <t>BACK</t>
        </is>
      </c>
      <c r="L149" s="5" t="inlineStr">
        <is>
          <t>Must</t>
        </is>
      </c>
      <c r="M149" s="5" t="n">
        <v>5</v>
      </c>
      <c r="N149" s="5" t="inlineStr">
        <is>
          <t>L4-17</t>
        </is>
      </c>
      <c r="O149" s="5" t="inlineStr">
        <is>
          <t>À faire</t>
        </is>
      </c>
      <c r="P149" s="5" t="inlineStr"/>
    </row>
    <row r="150">
      <c r="A150" s="5" t="inlineStr">
        <is>
          <t>L4-19</t>
        </is>
      </c>
      <c r="B150" s="5" t="inlineStr">
        <is>
          <t>L4</t>
        </is>
      </c>
      <c r="C150" s="5" t="inlineStr">
        <is>
          <t>E4.7</t>
        </is>
      </c>
      <c r="D150" s="5" t="inlineStr">
        <is>
          <t>Comparaison &amp; adoption</t>
        </is>
      </c>
      <c r="E150" s="5" t="inlineStr">
        <is>
          <t>Story</t>
        </is>
      </c>
      <c r="F150" s="5" t="inlineStr">
        <is>
          <t>Adoption d'une génération</t>
        </is>
      </c>
      <c r="G150" s="5" t="inlineStr">
        <is>
          <t>POST /versions/{id}/adopt.</t>
        </is>
      </c>
      <c r="H150" s="5" t="inlineStr">
        <is>
          <t>- Transaction : remplacement des séances MOTEUR sans verrou activité, occupations, conflits
- Une génération partielle (SUCCEEDED_WITH_WARNINGS) est adoptable
- Version en EDITION, majeur +1 selon RC-04
- 422 si génération non réussie ou si les snapshots de la version ont changé depuis la génération
- Le système ne sélectionne jamais automatiquement une génération</t>
        </is>
      </c>
      <c r="I150" s="5" t="inlineStr">
        <is>
          <t>EX-CMP-03, EX-PRI-04, EX-GEN-05</t>
        </is>
      </c>
      <c r="J150" s="5" t="inlineStr">
        <is>
          <t>§3.4.8, §4.7</t>
        </is>
      </c>
      <c r="K150" s="5" t="inlineStr">
        <is>
          <t>BACK</t>
        </is>
      </c>
      <c r="L150" s="5" t="inlineStr">
        <is>
          <t>Must</t>
        </is>
      </c>
      <c r="M150" s="5" t="n">
        <v>8</v>
      </c>
      <c r="N150" s="5" t="inlineStr">
        <is>
          <t>L4-18</t>
        </is>
      </c>
      <c r="O150" s="5" t="inlineStr">
        <is>
          <t>À faire</t>
        </is>
      </c>
      <c r="P150" s="5" t="inlineStr"/>
    </row>
    <row r="151">
      <c r="A151" s="5" t="inlineStr">
        <is>
          <t>L4-20</t>
        </is>
      </c>
      <c r="B151" s="5" t="inlineStr">
        <is>
          <t>L4</t>
        </is>
      </c>
      <c r="C151" s="5" t="inlineStr">
        <is>
          <t>E4.8</t>
        </is>
      </c>
      <c r="D151" s="5" t="inlineStr">
        <is>
          <t>UI génération</t>
        </is>
      </c>
      <c r="E151" s="5" t="inlineStr">
        <is>
          <t>Story</t>
        </is>
      </c>
      <c r="F151" s="5" t="inlineStr">
        <is>
          <t>UI lancement et suivi</t>
        </is>
      </c>
      <c r="G151" s="5" t="inlineStr">
        <is>
          <t>Périmètre, profil, rapport de traduction, confirmation, suivi SSE.</t>
        </is>
      </c>
      <c r="H151" s="5" t="inlineStr">
        <is>
          <t>- Le périmètre figé est affiché et confirmé avant lancement
- Les contraintes non traduites doivent être acquittées
- Progression et statut en temps réel, annulation possible
- Libellés français des statuts de génération</t>
        </is>
      </c>
      <c r="I151" s="5" t="inlineStr">
        <is>
          <t>EX-GEN-02, EX-GEN-04</t>
        </is>
      </c>
      <c r="J151" s="5" t="inlineStr">
        <is>
          <t>§3.4.5, §3.5</t>
        </is>
      </c>
      <c r="K151" s="5" t="inlineStr">
        <is>
          <t>FRONT</t>
        </is>
      </c>
      <c r="L151" s="5" t="inlineStr">
        <is>
          <t>Must</t>
        </is>
      </c>
      <c r="M151" s="5" t="n">
        <v>8</v>
      </c>
      <c r="N151" s="5" t="inlineStr">
        <is>
          <t>L4-15, L0-29</t>
        </is>
      </c>
      <c r="O151" s="5" t="inlineStr">
        <is>
          <t>À faire</t>
        </is>
      </c>
      <c r="P151" s="5" t="inlineStr"/>
    </row>
    <row r="152">
      <c r="A152" s="5" t="inlineStr">
        <is>
          <t>L4-21</t>
        </is>
      </c>
      <c r="B152" s="5" t="inlineStr">
        <is>
          <t>L4</t>
        </is>
      </c>
      <c r="C152" s="5" t="inlineStr">
        <is>
          <t>E4.8</t>
        </is>
      </c>
      <c r="D152" s="5" t="inlineStr">
        <is>
          <t>UI génération</t>
        </is>
      </c>
      <c r="E152" s="5" t="inlineStr">
        <is>
          <t>Story</t>
        </is>
      </c>
      <c r="F152" s="5" t="inlineStr">
        <is>
          <t>UI comparaison et adoption</t>
        </is>
      </c>
      <c r="G152" s="5" t="inlineStr">
        <is>
          <t>Tableau de métriques, score par critère, diff visuel, adoption.</t>
        </is>
      </c>
      <c r="H152" s="5" t="inlineStr">
        <is>
          <t>- Comparaison côte à côte de 2 à 4 générations en mode différences uniquement
- Score global, contribution de chaque critère et indicateurs bruts
- Les générations non classées sont affichées à part, sans rang
- Adoption avec confirmation et motif facultatif</t>
        </is>
      </c>
      <c r="I152" s="5" t="inlineStr">
        <is>
          <t>EX-CMP-01, EX-CMP-02, EX-CMP-03</t>
        </is>
      </c>
      <c r="J152" s="5" t="inlineStr">
        <is>
          <t>§4.7</t>
        </is>
      </c>
      <c r="K152" s="5" t="inlineStr">
        <is>
          <t>FRONT</t>
        </is>
      </c>
      <c r="L152" s="5" t="inlineStr">
        <is>
          <t>Must</t>
        </is>
      </c>
      <c r="M152" s="5" t="n">
        <v>8</v>
      </c>
      <c r="N152" s="5" t="inlineStr">
        <is>
          <t>L4-19, L0-29</t>
        </is>
      </c>
      <c r="O152" s="5" t="inlineStr">
        <is>
          <t>À faire</t>
        </is>
      </c>
      <c r="P152" s="5" t="inlineStr"/>
    </row>
    <row r="153">
      <c r="A153" s="5" t="inlineStr">
        <is>
          <t>L4-22</t>
        </is>
      </c>
      <c r="B153" s="5" t="inlineStr">
        <is>
          <t>L4</t>
        </is>
      </c>
      <c r="C153" s="5" t="inlineStr">
        <is>
          <t>E4.8</t>
        </is>
      </c>
      <c r="D153" s="5" t="inlineStr">
        <is>
          <t>UI génération</t>
        </is>
      </c>
      <c r="E153" s="5" t="inlineStr">
        <is>
          <t>Story</t>
        </is>
      </c>
      <c r="F153" s="5" t="inlineStr">
        <is>
          <t>Régénération partielle</t>
        </is>
      </c>
      <c r="G153" s="5" t="inlineStr">
        <is>
          <t>Séances verrouillées imposées à la génération suivante.</t>
        </is>
      </c>
      <c r="H153" s="5" t="inlineStr">
        <is>
          <t>- Les séances verrouillées gardent leur position après régénération
- Option preserverVerrouilles du profil respectée</t>
        </is>
      </c>
      <c r="I153" s="5" t="inlineStr">
        <is>
          <t>EX-VRR-01</t>
        </is>
      </c>
      <c r="J153" s="5" t="inlineStr">
        <is>
          <t>§4.14</t>
        </is>
      </c>
      <c r="K153" s="5" t="inlineStr">
        <is>
          <t>BACK</t>
        </is>
      </c>
      <c r="L153" s="5" t="inlineStr">
        <is>
          <t>Should</t>
        </is>
      </c>
      <c r="M153" s="5" t="n">
        <v>5</v>
      </c>
      <c r="N153" s="5" t="inlineStr">
        <is>
          <t>L4-05, L4-19</t>
        </is>
      </c>
      <c r="O153" s="5" t="inlineStr">
        <is>
          <t>À faire</t>
        </is>
      </c>
      <c r="P153" s="5" t="inlineStr"/>
    </row>
    <row r="154">
      <c r="A154" s="5" t="inlineStr">
        <is>
          <t>L4-23</t>
        </is>
      </c>
      <c r="B154" s="5" t="inlineStr">
        <is>
          <t>L4</t>
        </is>
      </c>
      <c r="C154" s="5" t="inlineStr">
        <is>
          <t>E4.8</t>
        </is>
      </c>
      <c r="D154" s="5" t="inlineStr">
        <is>
          <t>UI génération</t>
        </is>
      </c>
      <c r="E154" s="5" t="inlineStr">
        <is>
          <t>Story</t>
        </is>
      </c>
      <c r="F154" s="5" t="inlineStr">
        <is>
          <t>UI export du fichier moteur et import manuel</t>
        </is>
      </c>
      <c r="G154" s="5" t="inlineStr">
        <is>
          <t>Téléchargement du fichier moteur, dépôt du résultat d'une exécution manuelle.</t>
        </is>
      </c>
      <c r="H154" s="5" t="inlineStr">
        <is>
          <t>- L'empreinte attendue est affichée
- Le résultat importé apparaît dans l'historique avec le mode manuel</t>
        </is>
      </c>
      <c r="I154" s="5" t="inlineStr">
        <is>
          <t>EX-MOT-07</t>
        </is>
      </c>
      <c r="J154" s="5" t="inlineStr">
        <is>
          <t>§4.6.7</t>
        </is>
      </c>
      <c r="K154" s="5" t="inlineStr">
        <is>
          <t>FRONT</t>
        </is>
      </c>
      <c r="L154" s="5" t="inlineStr">
        <is>
          <t>Should</t>
        </is>
      </c>
      <c r="M154" s="5" t="n">
        <v>3</v>
      </c>
      <c r="N154" s="5" t="inlineStr">
        <is>
          <t>L4-16, L0-29</t>
        </is>
      </c>
      <c r="O154" s="5" t="inlineStr">
        <is>
          <t>À faire</t>
        </is>
      </c>
      <c r="P154" s="5" t="inlineStr"/>
    </row>
    <row r="155">
      <c r="A155" s="5" t="inlineStr">
        <is>
          <t>L4-24</t>
        </is>
      </c>
      <c r="B155" s="5" t="inlineStr">
        <is>
          <t>L4</t>
        </is>
      </c>
      <c r="C155" s="5" t="inlineStr">
        <is>
          <t>E4.8</t>
        </is>
      </c>
      <c r="D155" s="5" t="inlineStr">
        <is>
          <t>UI génération</t>
        </is>
      </c>
      <c r="E155" s="5" t="inlineStr">
        <is>
          <t>Story</t>
        </is>
      </c>
      <c r="F155" s="5" t="inlineStr">
        <is>
          <t>UI historique des générations</t>
        </is>
      </c>
      <c r="G155" s="5" t="inlineStr">
        <is>
          <t>Historique, snapshot, provenance, journaux, génération échouée conservée.</t>
        </is>
      </c>
      <c r="H155" s="5" t="inlineStr">
        <is>
          <t>- Chaque génération affiche paramètres, snapshot, fichier moteur, résultats, erreurs, conflits, métriques, score et statut
- Une génération en échec expose le message FET et les journaux, et permet de corriger et relancer
- Aucune suppression automatique</t>
        </is>
      </c>
      <c r="I155" s="5" t="inlineStr">
        <is>
          <t>EX-GEN-06, EX-GEN-07</t>
        </is>
      </c>
      <c r="J155" s="5" t="inlineStr">
        <is>
          <t>§4.6.5</t>
        </is>
      </c>
      <c r="K155" s="5" t="inlineStr">
        <is>
          <t>FRONT</t>
        </is>
      </c>
      <c r="L155" s="5" t="inlineStr">
        <is>
          <t>Should</t>
        </is>
      </c>
      <c r="M155" s="5" t="n">
        <v>3</v>
      </c>
      <c r="N155" s="5" t="inlineStr">
        <is>
          <t>L4-15, L0-29</t>
        </is>
      </c>
      <c r="O155" s="5" t="inlineStr">
        <is>
          <t>À faire</t>
        </is>
      </c>
      <c r="P155" s="5" t="inlineStr"/>
    </row>
    <row r="156">
      <c r="A156" s="5" t="inlineStr">
        <is>
          <t>L5-01</t>
        </is>
      </c>
      <c r="B156" s="5" t="inlineStr">
        <is>
          <t>L5</t>
        </is>
      </c>
      <c r="C156" s="5" t="inlineStr">
        <is>
          <t>E5.1</t>
        </is>
      </c>
      <c r="D156" s="5" t="inlineStr">
        <is>
          <t>Machine d'états des versions</t>
        </is>
      </c>
      <c r="E156" s="5" t="inlineStr">
        <is>
          <t>Story</t>
        </is>
      </c>
      <c r="F156" s="5" t="inlineStr">
        <is>
          <t>Machine d'états et transitions</t>
        </is>
      </c>
      <c r="G156" s="5" t="inlineStr">
        <is>
          <t>POST /versions/{id}/transitions.</t>
        </is>
      </c>
      <c r="H156" s="5" t="inlineStr">
        <is>
          <t>- Actions DEMARRER_EDITION, MARQUER_PRET, SOUMETTRE, REPRENDRE, RESOUMETTRE, ABANDONNER avec gardes par permission
- Chaque transition écrit WorkflowTransition et audit et incrémente revision
- 409 INVALID_STATE_TRANSITION hors table
- Motif d'abandon facultatif</t>
        </is>
      </c>
      <c r="I156" s="5" t="inlineStr">
        <is>
          <t>EX-WFL-01</t>
        </is>
      </c>
      <c r="J156" s="5" t="inlineStr">
        <is>
          <t>§4.1.1, §3.4.11</t>
        </is>
      </c>
      <c r="K156" s="5" t="inlineStr">
        <is>
          <t>BACK</t>
        </is>
      </c>
      <c r="L156" s="5" t="inlineStr">
        <is>
          <t>Must</t>
        </is>
      </c>
      <c r="M156" s="5" t="n">
        <v>8</v>
      </c>
      <c r="N156" s="5" t="inlineStr">
        <is>
          <t>L3-30, L0-19, L3-39</t>
        </is>
      </c>
      <c r="O156" s="5" t="inlineStr">
        <is>
          <t>À faire</t>
        </is>
      </c>
      <c r="P156" s="5" t="inlineStr"/>
    </row>
    <row r="157">
      <c r="A157" s="5" t="inlineStr">
        <is>
          <t>L5-02</t>
        </is>
      </c>
      <c r="B157" s="5" t="inlineStr">
        <is>
          <t>L5</t>
        </is>
      </c>
      <c r="C157" s="5" t="inlineStr">
        <is>
          <t>E5.1</t>
        </is>
      </c>
      <c r="D157" s="5" t="inlineStr">
        <is>
          <t>Machine d'états des versions</t>
        </is>
      </c>
      <c r="E157" s="5" t="inlineStr">
        <is>
          <t>Story</t>
        </is>
      </c>
      <c r="F157" s="5" t="inlineStr">
        <is>
          <t>Contrôle de soumission</t>
        </is>
      </c>
      <c r="G157" s="5" t="inlineStr">
        <is>
          <t>Recontrôle conflits et couverture avant MARQUER_PRET, SOUMETTRE, RESOUMETTRE, PUBLIER.</t>
        </is>
      </c>
      <c r="H157" s="5" t="inlineStr">
        <is>
          <t>- 422 VERSION_NOT_SUBMITTABLE avec détail conflits et couverture
- Les avertissements non acceptés ne bloquent pas ; leur nombre est renvoyé pour la confirmation globale
- Version en lecture seule et bail libéré après soumission
- Ouverture d'un nouveau cycleValidation, soumisPar enregistré</t>
        </is>
      </c>
      <c r="I157" s="5" t="inlineStr">
        <is>
          <t>EX-WFL-01, EX-EDI-05</t>
        </is>
      </c>
      <c r="J157" s="5" t="inlineStr">
        <is>
          <t>§3.4.11, §4.1.1</t>
        </is>
      </c>
      <c r="K157" s="5" t="inlineStr">
        <is>
          <t>BACK</t>
        </is>
      </c>
      <c r="L157" s="5" t="inlineStr">
        <is>
          <t>Must</t>
        </is>
      </c>
      <c r="M157" s="5" t="n">
        <v>5</v>
      </c>
      <c r="N157" s="5" t="inlineStr">
        <is>
          <t>L5-01</t>
        </is>
      </c>
      <c r="O157" s="5" t="inlineStr">
        <is>
          <t>À faire</t>
        </is>
      </c>
      <c r="P157" s="5" t="inlineStr"/>
    </row>
    <row r="158">
      <c r="A158" s="5" t="inlineStr">
        <is>
          <t>L5-03</t>
        </is>
      </c>
      <c r="B158" s="5" t="inlineStr">
        <is>
          <t>L5</t>
        </is>
      </c>
      <c r="C158" s="5" t="inlineStr">
        <is>
          <t>E5.2</t>
        </is>
      </c>
      <c r="D158" s="5" t="inlineStr">
        <is>
          <t>Validation par les Responsables</t>
        </is>
      </c>
      <c r="E158" s="5" t="inlineStr">
        <is>
          <t>Story</t>
        </is>
      </c>
      <c r="F158" s="5" t="inlineStr">
        <is>
          <t>Analyse d'impact et report des approbations</t>
        </is>
      </c>
      <c r="G158" s="5" t="inlineStr">
        <is>
          <t>Calcul du statut IMPACTE ou NON_IMPACTE par département ; report des approbations non impactées ; GET /versions/{id}/impact.</t>
        </is>
      </c>
      <c r="H158" s="5" t="inlineStr">
        <is>
          <t>- Département impacté si séances modifiées, snapshot modifié ou enseignant partagé avec une séance modifiée
- Département non impacté dont la version parente est approuvée : approbation reportée (reportee, cycleSource) et tracée
- Sans version parente ou sans approbation antérieure : tous les départements impactés
- Les salles ne comptent pas comme dépendance
- Synthèse disponible à la création de la version, avant régénération et à la soumission</t>
        </is>
      </c>
      <c r="I158" s="5" t="inlineStr">
        <is>
          <t>EX-WFL-04</t>
        </is>
      </c>
      <c r="J158" s="5" t="inlineStr">
        <is>
          <t>§4.13, §3.4.17</t>
        </is>
      </c>
      <c r="K158" s="5" t="inlineStr">
        <is>
          <t>BACK</t>
        </is>
      </c>
      <c r="L158" s="5" t="inlineStr">
        <is>
          <t>Must</t>
        </is>
      </c>
      <c r="M158" s="5" t="n">
        <v>8</v>
      </c>
      <c r="N158" s="5" t="inlineStr">
        <is>
          <t>L5-02, L3-10</t>
        </is>
      </c>
      <c r="O158" s="5" t="inlineStr">
        <is>
          <t>À faire</t>
        </is>
      </c>
      <c r="P158" s="5" t="inlineStr"/>
    </row>
    <row r="159">
      <c r="A159" s="5" t="inlineStr">
        <is>
          <t>L5-04</t>
        </is>
      </c>
      <c r="B159" s="5" t="inlineStr">
        <is>
          <t>L5</t>
        </is>
      </c>
      <c r="C159" s="5" t="inlineStr">
        <is>
          <t>E5.2</t>
        </is>
      </c>
      <c r="D159" s="5" t="inlineStr">
        <is>
          <t>Validation par les Responsables</t>
        </is>
      </c>
      <c r="E159" s="5" t="inlineStr">
        <is>
          <t>Story</t>
        </is>
      </c>
      <c r="F159" s="5" t="inlineStr">
        <is>
          <t>Décisions de validation par département</t>
        </is>
      </c>
      <c r="G159" s="5" t="inlineStr">
        <is>
          <t>POST /versions/{id}/validations ; décision du Responsable ou de l'Administrateur pour un département nommé.</t>
        </is>
      </c>
      <c r="H159" s="5" t="inlineStr">
        <is>
          <t>- Un Responsable décide uniquement pour son département impacté en attente
- L'Administrateur décide pour un département nommé ; mention « validé par l'Administrateur » et notification du Responsable
- Motif obligatoire en cas de rejet, facultatif sinon
- Unanimité requise : passage automatique à VALIDE ou REJETE
- 403 SEGREGATION_OF_DUTIES si le décideur a soumis le cycle
- 409 si décision déjà donnée dans le cycle</t>
        </is>
      </c>
      <c r="I159" s="5" t="inlineStr">
        <is>
          <t>EX-WFL-03, EX-ROL-06</t>
        </is>
      </c>
      <c r="J159" s="5" t="inlineStr">
        <is>
          <t>§3.4.12, §4.1.1</t>
        </is>
      </c>
      <c r="K159" s="5" t="inlineStr">
        <is>
          <t>BACK</t>
        </is>
      </c>
      <c r="L159" s="5" t="inlineStr">
        <is>
          <t>Must</t>
        </is>
      </c>
      <c r="M159" s="5" t="n">
        <v>8</v>
      </c>
      <c r="N159" s="5" t="inlineStr">
        <is>
          <t>L5-03, L0-22</t>
        </is>
      </c>
      <c r="O159" s="5" t="inlineStr">
        <is>
          <t>À faire</t>
        </is>
      </c>
      <c r="P159" s="5" t="inlineStr"/>
    </row>
    <row r="160">
      <c r="A160" s="5" t="inlineStr">
        <is>
          <t>L5-05</t>
        </is>
      </c>
      <c r="B160" s="5" t="inlineStr">
        <is>
          <t>L5</t>
        </is>
      </c>
      <c r="C160" s="5" t="inlineStr">
        <is>
          <t>E5.2</t>
        </is>
      </c>
      <c r="D160" s="5" t="inlineStr">
        <is>
          <t>Validation par les Responsables</t>
        </is>
      </c>
      <c r="E160" s="5" t="inlineStr">
        <is>
          <t>Story</t>
        </is>
      </c>
      <c r="F160" s="5" t="inlineStr">
        <is>
          <t>UI validation par les Responsables</t>
        </is>
      </c>
      <c r="G160" s="5" t="inlineStr">
        <is>
          <t>Consultation de la version du département, conflits, avertissements, approbation ou rejet.</t>
        </is>
      </c>
      <c r="H160" s="5" t="inlineStr">
        <is>
          <t>- Le Responsable voit le planning complet de son département et ses conflits
- Il peut valider malgré des avertissements, jamais malgré un blocage
- Le rejet exige un motif
- Un département non impacté affiche « approbation reportée »</t>
        </is>
      </c>
      <c r="I160" s="5" t="inlineStr">
        <is>
          <t>EX-WFL-03</t>
        </is>
      </c>
      <c r="J160" s="5" t="inlineStr">
        <is>
          <t>§3.4.12</t>
        </is>
      </c>
      <c r="K160" s="5" t="inlineStr">
        <is>
          <t>FRONT</t>
        </is>
      </c>
      <c r="L160" s="5" t="inlineStr">
        <is>
          <t>Must</t>
        </is>
      </c>
      <c r="M160" s="5" t="n">
        <v>8</v>
      </c>
      <c r="N160" s="5" t="inlineStr">
        <is>
          <t>L5-04, L0-29</t>
        </is>
      </c>
      <c r="O160" s="5" t="inlineStr">
        <is>
          <t>À faire</t>
        </is>
      </c>
      <c r="P160" s="5" t="inlineStr"/>
    </row>
    <row r="161">
      <c r="A161" s="5" t="inlineStr">
        <is>
          <t>L5-06</t>
        </is>
      </c>
      <c r="B161" s="5" t="inlineStr">
        <is>
          <t>L5</t>
        </is>
      </c>
      <c r="C161" s="5" t="inlineStr">
        <is>
          <t>E5.2</t>
        </is>
      </c>
      <c r="D161" s="5" t="inlineStr">
        <is>
          <t>Validation par les Responsables</t>
        </is>
      </c>
      <c r="E161" s="5" t="inlineStr">
        <is>
          <t>Story</t>
        </is>
      </c>
      <c r="F161" s="5" t="inlineStr">
        <is>
          <t>UI synthèse d'impact</t>
        </is>
      </c>
      <c r="G161" s="5" t="inlineStr">
        <is>
          <t>Séances modifiées, enseignants et départements concernés, statut par département avec raison.</t>
        </is>
      </c>
      <c r="H161" s="5" t="inlineStr">
        <is>
          <t>- Affichée à la création de la version, avant une régénération et à la soumission
- Chaque statut cite sa raison</t>
        </is>
      </c>
      <c r="I161" s="5" t="inlineStr">
        <is>
          <t>EX-WFL-04</t>
        </is>
      </c>
      <c r="J161" s="5" t="inlineStr">
        <is>
          <t>§3.4.17</t>
        </is>
      </c>
      <c r="K161" s="5" t="inlineStr">
        <is>
          <t>FRONT</t>
        </is>
      </c>
      <c r="L161" s="5" t="inlineStr">
        <is>
          <t>Must</t>
        </is>
      </c>
      <c r="M161" s="5" t="n">
        <v>3</v>
      </c>
      <c r="N161" s="5" t="inlineStr">
        <is>
          <t>L5-03, L0-29</t>
        </is>
      </c>
      <c r="O161" s="5" t="inlineStr">
        <is>
          <t>À faire</t>
        </is>
      </c>
      <c r="P161" s="5" t="inlineStr"/>
    </row>
    <row r="162">
      <c r="A162" s="5" t="inlineStr">
        <is>
          <t>L5-07</t>
        </is>
      </c>
      <c r="B162" s="5" t="inlineStr">
        <is>
          <t>L5</t>
        </is>
      </c>
      <c r="C162" s="5" t="inlineStr">
        <is>
          <t>E5.3</t>
        </is>
      </c>
      <c r="D162" s="5" t="inlineStr">
        <is>
          <t>Publication &amp; révisions</t>
        </is>
      </c>
      <c r="E162" s="5" t="inlineStr">
        <is>
          <t>Story</t>
        </is>
      </c>
      <c r="F162" s="5" t="inlineStr">
        <is>
          <t>Publication atomique</t>
        </is>
      </c>
      <c r="G162" s="5" t="inlineStr">
        <is>
          <t>POST /versions/{id}/publish par le Gestionnaire ou l'Administrateur.</t>
        </is>
      </c>
      <c r="H162" s="5" t="inlineStr">
        <is>
          <t>- Réservée au Gestionnaire et à l'Administrateur, version VALIDE requise
- Contrôles finaux : validations, conflits, couverture, verrous, provenance, snapshot, périmètre, absence de modification concurrente
- L'ancienne version publiée passe en ARCHIVE dans la même transaction
- La correspondance Ramadan est figée avec la version
- Une seule PUBLIE par semestre (409 sur course) ; aucun état partiel en cas d'échec</t>
        </is>
      </c>
      <c r="I162" s="5" t="inlineStr">
        <is>
          <t>EX-WFL-05</t>
        </is>
      </c>
      <c r="J162" s="5" t="inlineStr">
        <is>
          <t>§4.1.1, §3.4.13</t>
        </is>
      </c>
      <c r="K162" s="5" t="inlineStr">
        <is>
          <t>BACK</t>
        </is>
      </c>
      <c r="L162" s="5" t="inlineStr">
        <is>
          <t>Must</t>
        </is>
      </c>
      <c r="M162" s="5" t="n">
        <v>5</v>
      </c>
      <c r="N162" s="5" t="inlineStr">
        <is>
          <t>L5-04, L1-22</t>
        </is>
      </c>
      <c r="O162" s="5" t="inlineStr">
        <is>
          <t>À faire</t>
        </is>
      </c>
      <c r="P162" s="5" t="inlineStr"/>
    </row>
    <row r="163">
      <c r="A163" s="5" t="inlineStr">
        <is>
          <t>L5-08</t>
        </is>
      </c>
      <c r="B163" s="5" t="inlineStr">
        <is>
          <t>L5</t>
        </is>
      </c>
      <c r="C163" s="5" t="inlineStr">
        <is>
          <t>E5.3</t>
        </is>
      </c>
      <c r="D163" s="5" t="inlineStr">
        <is>
          <t>Publication &amp; révisions</t>
        </is>
      </c>
      <c r="E163" s="5" t="inlineStr">
        <is>
          <t>Story</t>
        </is>
      </c>
      <c r="F163" s="5" t="inlineStr">
        <is>
          <t>Prévisualisation avant publication</t>
        </is>
      </c>
      <c r="G163" s="5" t="inlineStr">
        <is>
          <t>GET /versions/{id}/previsualisation-publication et confirmation explicite.</t>
        </is>
      </c>
      <c r="H163" s="5" t="inlineStr">
        <is>
          <t>- Affiche version candidate et précédente, départements validés, activités modifiées, conflits, avertissements acceptés, verrous, provenance, profil, activités planifiées ou non
- La publication exige une confirmation explicite</t>
        </is>
      </c>
      <c r="I163" s="5" t="inlineStr">
        <is>
          <t>EX-WFL-09</t>
        </is>
      </c>
      <c r="J163" s="5" t="inlineStr">
        <is>
          <t>§3.3, §4.1.1.1</t>
        </is>
      </c>
      <c r="K163" s="5" t="inlineStr">
        <is>
          <t>FULL</t>
        </is>
      </c>
      <c r="L163" s="5" t="inlineStr">
        <is>
          <t>Must</t>
        </is>
      </c>
      <c r="M163" s="5" t="n">
        <v>5</v>
      </c>
      <c r="N163" s="5" t="inlineStr">
        <is>
          <t>L5-07, L3-39</t>
        </is>
      </c>
      <c r="O163" s="5" t="inlineStr">
        <is>
          <t>À faire</t>
        </is>
      </c>
      <c r="P163" s="5" t="inlineStr"/>
    </row>
    <row r="164">
      <c r="A164" s="5" t="inlineStr">
        <is>
          <t>L5-09</t>
        </is>
      </c>
      <c r="B164" s="5" t="inlineStr">
        <is>
          <t>L5</t>
        </is>
      </c>
      <c r="C164" s="5" t="inlineStr">
        <is>
          <t>E5.3</t>
        </is>
      </c>
      <c r="D164" s="5" t="inlineStr">
        <is>
          <t>Publication &amp; révisions</t>
        </is>
      </c>
      <c r="E164" s="5" t="inlineStr">
        <is>
          <t>Story</t>
        </is>
      </c>
      <c r="F164" s="5" t="inlineStr">
        <is>
          <t>Historique de version</t>
        </is>
      </c>
      <c r="G164" s="5" t="inlineStr">
        <is>
          <t>GET /versions/{id}/history et chronologie.</t>
        </is>
      </c>
      <c r="H164" s="5" t="inlineStr">
        <is>
          <t>- Transitions et décisions affichées avec auteur, date, motif, mention automatique ou reportée</t>
        </is>
      </c>
      <c r="I164" s="5" t="inlineStr">
        <is>
          <t>EX-WFL-07</t>
        </is>
      </c>
      <c r="J164" s="5" t="inlineStr">
        <is>
          <t>§3.3</t>
        </is>
      </c>
      <c r="K164" s="5" t="inlineStr">
        <is>
          <t>FULL</t>
        </is>
      </c>
      <c r="L164" s="5" t="inlineStr">
        <is>
          <t>Should</t>
        </is>
      </c>
      <c r="M164" s="5" t="n">
        <v>3</v>
      </c>
      <c r="N164" s="5" t="inlineStr">
        <is>
          <t>L5-01, L0-29</t>
        </is>
      </c>
      <c r="O164" s="5" t="inlineStr">
        <is>
          <t>À faire</t>
        </is>
      </c>
      <c r="P164" s="5" t="inlineStr"/>
    </row>
    <row r="165">
      <c r="A165" s="5" t="inlineStr">
        <is>
          <t>L5-10</t>
        </is>
      </c>
      <c r="B165" s="5" t="inlineStr">
        <is>
          <t>L5</t>
        </is>
      </c>
      <c r="C165" s="5" t="inlineStr">
        <is>
          <t>E5.3</t>
        </is>
      </c>
      <c r="D165" s="5" t="inlineStr">
        <is>
          <t>Publication &amp; révisions</t>
        </is>
      </c>
      <c r="E165" s="5" t="inlineStr">
        <is>
          <t>Story</t>
        </is>
      </c>
      <c r="F165" s="5" t="inlineStr">
        <is>
          <t>Nouvelle révision d'une version publiée</t>
        </is>
      </c>
      <c r="G165" s="5" t="inlineStr">
        <is>
          <t>POST /versions/{id}/new-revision.</t>
        </is>
      </c>
      <c r="H165" s="5" t="inlineStr">
        <is>
          <t>- Version enfant avec parentId, séances et verrous copiés, statut EDITION
- Numérotation mineure ou majeure selon RC-04
- La version publiée reste inchangée
- L'analyse d'impact utilise la version parente</t>
        </is>
      </c>
      <c r="I165" s="5" t="inlineStr">
        <is>
          <t>EX-WFL-06, EX-PRI-03</t>
        </is>
      </c>
      <c r="J165" s="5" t="inlineStr">
        <is>
          <t>§4.1.1, §0.3</t>
        </is>
      </c>
      <c r="K165" s="5" t="inlineStr">
        <is>
          <t>BACK</t>
        </is>
      </c>
      <c r="L165" s="5" t="inlineStr">
        <is>
          <t>Must</t>
        </is>
      </c>
      <c r="M165" s="5" t="n">
        <v>5</v>
      </c>
      <c r="N165" s="5" t="inlineStr">
        <is>
          <t>L5-07, L3-36</t>
        </is>
      </c>
      <c r="O165" s="5" t="inlineStr">
        <is>
          <t>À faire</t>
        </is>
      </c>
      <c r="P165" s="5" t="inlineStr"/>
    </row>
    <row r="166">
      <c r="A166" s="5" t="inlineStr">
        <is>
          <t>L5-11</t>
        </is>
      </c>
      <c r="B166" s="5" t="inlineStr">
        <is>
          <t>L5</t>
        </is>
      </c>
      <c r="C166" s="5" t="inlineStr">
        <is>
          <t>E5.3</t>
        </is>
      </c>
      <c r="D166" s="5" t="inlineStr">
        <is>
          <t>Publication &amp; révisions</t>
        </is>
      </c>
      <c r="E166" s="5" t="inlineStr">
        <is>
          <t>Story</t>
        </is>
      </c>
      <c r="F166" s="5" t="inlineStr">
        <is>
          <t>Différences entre versions</t>
        </is>
      </c>
      <c r="G166" s="5" t="inlineStr">
        <is>
          <t>GET /versions/{id}/diff?against= et affichage.</t>
        </is>
      </c>
      <c r="H166" s="5" t="inlineStr">
        <is>
          <t>- Séances identiques, déplacées, changées de salle ou d'enseignant
- Affichage visuel du diff</t>
        </is>
      </c>
      <c r="I166" s="5" t="inlineStr">
        <is>
          <t>EX-WFL-06</t>
        </is>
      </c>
      <c r="J166" s="5" t="inlineStr">
        <is>
          <t>§3.3</t>
        </is>
      </c>
      <c r="K166" s="5" t="inlineStr">
        <is>
          <t>FULL</t>
        </is>
      </c>
      <c r="L166" s="5" t="inlineStr">
        <is>
          <t>Should</t>
        </is>
      </c>
      <c r="M166" s="5" t="n">
        <v>5</v>
      </c>
      <c r="N166" s="5" t="inlineStr">
        <is>
          <t>L5-10</t>
        </is>
      </c>
      <c r="O166" s="5" t="inlineStr">
        <is>
          <t>À faire</t>
        </is>
      </c>
      <c r="P166" s="5" t="inlineStr"/>
    </row>
    <row r="167">
      <c r="A167" s="5" t="inlineStr">
        <is>
          <t>L5-12</t>
        </is>
      </c>
      <c r="B167" s="5" t="inlineStr">
        <is>
          <t>L5</t>
        </is>
      </c>
      <c r="C167" s="5" t="inlineStr">
        <is>
          <t>E5.3</t>
        </is>
      </c>
      <c r="D167" s="5" t="inlineStr">
        <is>
          <t>Publication &amp; révisions</t>
        </is>
      </c>
      <c r="E167" s="5" t="inlineStr">
        <is>
          <t>Story</t>
        </is>
      </c>
      <c r="F167" s="5" t="inlineStr">
        <is>
          <t>Provenance et versionnement des objets critiques</t>
        </is>
      </c>
      <c r="G167" s="5" t="inlineStr">
        <is>
          <t>Chaîne version → génération → profil → jeu de règles → snapshot → adaptateur ; question « pourquoi ce créneau ? ».</t>
        </is>
      </c>
      <c r="H167" s="5" t="inlineStr">
        <is>
          <t>- Chaque version publiée permet de retrouver génération source, version du profil, jeu de règles de charge, snapshots et version de l'adaptateur
- Les objets critiques sont versionnés indépendamment
- Une version issue d'une édition manuelle indique les séances d'origine MANUEL</t>
        </is>
      </c>
      <c r="I167" s="5" t="inlineStr">
        <is>
          <t>EX-WFL-07, EX-DAT-02, EX-PRI-07</t>
        </is>
      </c>
      <c r="J167" s="5" t="inlineStr">
        <is>
          <t>§2.2, §4.1.1.1</t>
        </is>
      </c>
      <c r="K167" s="5" t="inlineStr">
        <is>
          <t>BACK</t>
        </is>
      </c>
      <c r="L167" s="5" t="inlineStr">
        <is>
          <t>Must</t>
        </is>
      </c>
      <c r="M167" s="5" t="n">
        <v>5</v>
      </c>
      <c r="N167" s="5" t="inlineStr">
        <is>
          <t>L5-07, L4-17</t>
        </is>
      </c>
      <c r="O167" s="5" t="inlineStr">
        <is>
          <t>À faire</t>
        </is>
      </c>
      <c r="P167" s="5" t="inlineStr"/>
    </row>
    <row r="168">
      <c r="A168" s="5" t="inlineStr">
        <is>
          <t>L5-13</t>
        </is>
      </c>
      <c r="B168" s="5" t="inlineStr">
        <is>
          <t>L5</t>
        </is>
      </c>
      <c r="C168" s="5" t="inlineStr">
        <is>
          <t>E5.3</t>
        </is>
      </c>
      <c r="D168" s="5" t="inlineStr">
        <is>
          <t>Publication &amp; révisions</t>
        </is>
      </c>
      <c r="E168" s="5" t="inlineStr">
        <is>
          <t>Story</t>
        </is>
      </c>
      <c r="F168" s="5" t="inlineStr">
        <is>
          <t>Impact d'un changement de règle</t>
        </is>
      </c>
      <c r="G168" s="5" t="inlineStr">
        <is>
          <t>Identification des versions concernées et des plannings potentiellement obsolètes lors d'une modification de règle ou de contrainte.</t>
        </is>
      </c>
      <c r="H168" s="5" t="inlineStr">
        <is>
          <t>- Une règle ne change jamais rétroactivement une version publiée
- Les versions non publiées concernées sont listées et les utilisateurs avertis
- Les anciennes versions sont conservées</t>
        </is>
      </c>
      <c r="I168" s="5" t="inlineStr">
        <is>
          <t>EX-DAT-03</t>
        </is>
      </c>
      <c r="J168" s="5" t="inlineStr">
        <is>
          <t>§4.19</t>
        </is>
      </c>
      <c r="K168" s="5" t="inlineStr">
        <is>
          <t>BACK</t>
        </is>
      </c>
      <c r="L168" s="5" t="inlineStr">
        <is>
          <t>Should</t>
        </is>
      </c>
      <c r="M168" s="5" t="n">
        <v>5</v>
      </c>
      <c r="N168" s="5" t="inlineStr">
        <is>
          <t>L5-12, L3-03</t>
        </is>
      </c>
      <c r="O168" s="5" t="inlineStr">
        <is>
          <t>À faire</t>
        </is>
      </c>
      <c r="P168" s="5" t="inlineStr"/>
    </row>
    <row r="169">
      <c r="A169" s="5" t="inlineStr">
        <is>
          <t>L5-14</t>
        </is>
      </c>
      <c r="B169" s="5" t="inlineStr">
        <is>
          <t>L5</t>
        </is>
      </c>
      <c r="C169" s="5" t="inlineStr">
        <is>
          <t>E5.3</t>
        </is>
      </c>
      <c r="D169" s="5" t="inlineStr">
        <is>
          <t>Publication &amp; révisions</t>
        </is>
      </c>
      <c r="E169" s="5" t="inlineStr">
        <is>
          <t>Story</t>
        </is>
      </c>
      <c r="F169" s="5" t="inlineStr">
        <is>
          <t>Modification de contraintes après validation</t>
        </is>
      </c>
      <c r="G169" s="5" t="inlineStr">
        <is>
          <t>Choix entre application immédiate et application à la prochaine génération ; régénération ou annulation.</t>
        </is>
      </c>
      <c r="H169" s="5" t="inlineStr">
        <is>
          <t>- Application immédiate : la version courante est recalculée et les conflits identifiés
- Si le planning devient non conforme : choix de régénérer (avec le profil de son choix) ou d'annuler la modification
- La version publiée ou validée précédente reste immuable ; la régénération alimente une nouvelle version de travail</t>
        </is>
      </c>
      <c r="I169" s="5" t="inlineStr">
        <is>
          <t>EX-WFL-08</t>
        </is>
      </c>
      <c r="J169" s="5" t="inlineStr">
        <is>
          <t>§4.1.1</t>
        </is>
      </c>
      <c r="K169" s="5" t="inlineStr">
        <is>
          <t>FULL</t>
        </is>
      </c>
      <c r="L169" s="5" t="inlineStr">
        <is>
          <t>Should</t>
        </is>
      </c>
      <c r="M169" s="5" t="n">
        <v>5</v>
      </c>
      <c r="N169" s="5" t="inlineStr">
        <is>
          <t>L5-10, L4-14, L3-17</t>
        </is>
      </c>
      <c r="O169" s="5" t="inlineStr">
        <is>
          <t>À faire</t>
        </is>
      </c>
      <c r="P169" s="5" t="inlineStr"/>
    </row>
    <row r="170">
      <c r="A170" s="5" t="inlineStr">
        <is>
          <t>L5-15</t>
        </is>
      </c>
      <c r="B170" s="5" t="inlineStr">
        <is>
          <t>L5</t>
        </is>
      </c>
      <c r="C170" s="5" t="inlineStr">
        <is>
          <t>E5.4</t>
        </is>
      </c>
      <c r="D170" s="5" t="inlineStr">
        <is>
          <t>UI workflow</t>
        </is>
      </c>
      <c r="E170" s="5" t="inlineStr">
        <is>
          <t>Story</t>
        </is>
      </c>
      <c r="F170" s="5" t="inlineStr">
        <is>
          <t>UI cycle de vie des versions</t>
        </is>
      </c>
      <c r="G170" s="5" t="inlineStr">
        <is>
          <t>Badges d'état et actions autorisées selon rôle et état.</t>
        </is>
      </c>
      <c r="H170" s="5" t="inlineStr">
        <is>
          <t>- Seules les actions permises sont proposées
- Libellés français issus du glossaire
- Confirmation globale à la soumission si des avertissements ne sont pas acceptés</t>
        </is>
      </c>
      <c r="I170" s="5" t="inlineStr">
        <is>
          <t>EX-WFL-01</t>
        </is>
      </c>
      <c r="J170" s="5" t="inlineStr">
        <is>
          <t>§4.1.1</t>
        </is>
      </c>
      <c r="K170" s="5" t="inlineStr">
        <is>
          <t>FRONT</t>
        </is>
      </c>
      <c r="L170" s="5" t="inlineStr">
        <is>
          <t>Must</t>
        </is>
      </c>
      <c r="M170" s="5" t="n">
        <v>5</v>
      </c>
      <c r="N170" s="5" t="inlineStr">
        <is>
          <t>L5-01, L0-29, L3-40</t>
        </is>
      </c>
      <c r="O170" s="5" t="inlineStr">
        <is>
          <t>À faire</t>
        </is>
      </c>
      <c r="P170" s="5" t="inlineStr"/>
    </row>
    <row r="171">
      <c r="A171" s="5" t="inlineStr">
        <is>
          <t>L5-16</t>
        </is>
      </c>
      <c r="B171" s="5" t="inlineStr">
        <is>
          <t>L5</t>
        </is>
      </c>
      <c r="C171" s="5" t="inlineStr">
        <is>
          <t>E5.4</t>
        </is>
      </c>
      <c r="D171" s="5" t="inlineStr">
        <is>
          <t>UI workflow</t>
        </is>
      </c>
      <c r="E171" s="5" t="inlineStr">
        <is>
          <t>Test</t>
        </is>
      </c>
      <c r="F171" s="5" t="inlineStr">
        <is>
          <t>E2E du workflow par rôle</t>
        </is>
      </c>
      <c r="G171" s="5" t="inlineStr">
        <is>
          <t>Playwright : Gestionnaire, Responsable, Administrateur, Direction.</t>
        </is>
      </c>
      <c r="H171" s="5" t="inlineStr">
        <is>
          <t>- Parcours édition &gt; soumission &gt; validation &gt; publication vert
- Parcours de rejet et correction vert
- Parcours enseignant partagé : report d'approbation et revalidation vert
- La Direction ne peut rien modifier</t>
        </is>
      </c>
      <c r="I171" s="5" t="inlineStr">
        <is>
          <t>EX-NFR-07, EX-WFL-04</t>
        </is>
      </c>
      <c r="J171" s="5" t="inlineStr">
        <is>
          <t>§5.5</t>
        </is>
      </c>
      <c r="K171" s="5" t="inlineStr">
        <is>
          <t>QA</t>
        </is>
      </c>
      <c r="L171" s="5" t="inlineStr">
        <is>
          <t>Must</t>
        </is>
      </c>
      <c r="M171" s="5" t="n">
        <v>5</v>
      </c>
      <c r="N171" s="5" t="inlineStr">
        <is>
          <t>L5-05, L5-07</t>
        </is>
      </c>
      <c r="O171" s="5" t="inlineStr">
        <is>
          <t>À faire</t>
        </is>
      </c>
      <c r="P171" s="5" t="inlineStr"/>
    </row>
    <row r="172">
      <c r="A172" s="5" t="inlineStr">
        <is>
          <t>L5-17</t>
        </is>
      </c>
      <c r="B172" s="5" t="inlineStr">
        <is>
          <t>L5</t>
        </is>
      </c>
      <c r="C172" s="5" t="inlineStr">
        <is>
          <t>E5.5</t>
        </is>
      </c>
      <c r="D172" s="5" t="inlineStr">
        <is>
          <t>Circuit de validation configurable</t>
        </is>
      </c>
      <c r="E172" s="5" t="inlineStr">
        <is>
          <t>Story</t>
        </is>
      </c>
      <c r="F172" s="5" t="inlineStr">
        <is>
          <t>Paramètre global du workflow</t>
        </is>
      </c>
      <c r="G172" s="5" t="inlineStr">
        <is>
          <t>Modèle ParametreWorkflow (ligne unique) : validationPlanningRequise et publicationRequise. GET et PATCH /parametres/workflow.</t>
        </is>
      </c>
      <c r="H172" s="5" t="inlineStr">
        <is>
          <t>- Ligne unique garantie par CHECK (id = 1), valeurs par défaut : les deux interrupteurs à true
- GET lisible par tous les rôles, PATCH réservé à l'Administrateur (parametre:write)
- Corps vide ou invalide : 422
- Chaque modification écrit un audit (ancienne et nouvelle valeur, motif facultatif)
- Test de matrice de permissions mis à jour</t>
        </is>
      </c>
      <c r="I172" s="5" t="inlineStr">
        <is>
          <t>EX-WFL-02</t>
        </is>
      </c>
      <c r="J172" s="5" t="inlineStr">
        <is>
          <t>§2.2, §2.4, §4.1.1</t>
        </is>
      </c>
      <c r="K172" s="5" t="inlineStr">
        <is>
          <t>BACK</t>
        </is>
      </c>
      <c r="L172" s="5" t="inlineStr">
        <is>
          <t>Must</t>
        </is>
      </c>
      <c r="M172" s="5" t="n">
        <v>3</v>
      </c>
      <c r="N172" s="5" t="inlineStr">
        <is>
          <t>L5-01, L0-19</t>
        </is>
      </c>
      <c r="O172" s="5" t="inlineStr">
        <is>
          <t>À faire</t>
        </is>
      </c>
      <c r="P172" s="5" t="inlineStr"/>
    </row>
    <row r="173">
      <c r="A173" s="5" t="inlineStr">
        <is>
          <t>L5-18</t>
        </is>
      </c>
      <c r="B173" s="5" t="inlineStr">
        <is>
          <t>L5</t>
        </is>
      </c>
      <c r="C173" s="5" t="inlineStr">
        <is>
          <t>E5.5</t>
        </is>
      </c>
      <c r="D173" s="5" t="inlineStr">
        <is>
          <t>Circuit de validation configurable</t>
        </is>
      </c>
      <c r="E173" s="5" t="inlineStr">
        <is>
          <t>Story</t>
        </is>
      </c>
      <c r="F173" s="5" t="inlineStr">
        <is>
          <t>Transitions selon le circuit figé</t>
        </is>
      </c>
      <c r="G173" s="5" t="inlineStr">
        <is>
          <t>SOUMETTRE et RESOUMETTRE copient les deux interrupteurs sur la version et appliquent le chemin direct ou automatique correspondant.</t>
        </is>
      </c>
      <c r="H173" s="5" t="inlineStr">
        <is>
          <t>- Validation non requise : SOUMETTRE mène directement à VALIDE, sans EN_VALIDATION ni ValidationDepartement
- Publication non requise : VALIDE passe à PUBLIE dans la même transaction (ancienne version archivée)
- Gardes inchangées : recontrôle des conflits, couverture à 100 %
- Échec du recontrôle à la publication automatique : la version reste VALIDE
- Une ligne WorkflowTransition par transition, avec commentaire explicite ; auteur = utilisateur déclencheur
- POST /versions/{id}/publish reste possible sur toute version VALIDE
- Confirmation exigée (confirmerPublication) quand la soumission publiera</t>
        </is>
      </c>
      <c r="I173" s="5" t="inlineStr">
        <is>
          <t>EX-WFL-02</t>
        </is>
      </c>
      <c r="J173" s="5" t="inlineStr">
        <is>
          <t>§4.1.1, §3.4.11</t>
        </is>
      </c>
      <c r="K173" s="5" t="inlineStr">
        <is>
          <t>BACK</t>
        </is>
      </c>
      <c r="L173" s="5" t="inlineStr">
        <is>
          <t>Must</t>
        </is>
      </c>
      <c r="M173" s="5" t="n">
        <v>5</v>
      </c>
      <c r="N173" s="5" t="inlineStr">
        <is>
          <t>L5-17, L5-07, L5-02</t>
        </is>
      </c>
      <c r="O173" s="5" t="inlineStr">
        <is>
          <t>À faire</t>
        </is>
      </c>
      <c r="P173" s="5" t="inlineStr"/>
    </row>
    <row r="174">
      <c r="A174" s="5" t="inlineStr">
        <is>
          <t>L5-19</t>
        </is>
      </c>
      <c r="B174" s="5" t="inlineStr">
        <is>
          <t>L5</t>
        </is>
      </c>
      <c r="C174" s="5" t="inlineStr">
        <is>
          <t>E5.5</t>
        </is>
      </c>
      <c r="D174" s="5" t="inlineStr">
        <is>
          <t>Circuit de validation configurable</t>
        </is>
      </c>
      <c r="E174" s="5" t="inlineStr">
        <is>
          <t>Story</t>
        </is>
      </c>
      <c r="F174" s="5" t="inlineStr">
        <is>
          <t>UI paramétrage du circuit et adaptation du workflow</t>
        </is>
      </c>
      <c r="G174" s="5" t="inlineStr">
        <is>
          <t>Écran Administrateur pour les deux interrupteurs ; adaptation des écrans de validation et de soumission.</t>
        </is>
      </c>
      <c r="H174" s="5" t="inlineStr">
        <is>
          <t>- Écran réservé à l'Administrateur avec la valeur courante et la date de dernière modification
- Confirmation à la soumission quand elle publiera la version, en précisant que la version actuelle sera archivée
- Pour un cycle sans validation : aucune action proposée aux Responsables et mention « validation du planning non requise »
- Une version publiée automatiquement l'indique dans son historique</t>
        </is>
      </c>
      <c r="I174" s="5" t="inlineStr">
        <is>
          <t>EX-WFL-02</t>
        </is>
      </c>
      <c r="J174" s="5" t="inlineStr">
        <is>
          <t>§4.1.1</t>
        </is>
      </c>
      <c r="K174" s="5" t="inlineStr">
        <is>
          <t>FRONT</t>
        </is>
      </c>
      <c r="L174" s="5" t="inlineStr">
        <is>
          <t>Should</t>
        </is>
      </c>
      <c r="M174" s="5" t="n">
        <v>3</v>
      </c>
      <c r="N174" s="5" t="inlineStr">
        <is>
          <t>L5-17, L5-15</t>
        </is>
      </c>
      <c r="O174" s="5" t="inlineStr">
        <is>
          <t>À faire</t>
        </is>
      </c>
      <c r="P174" s="5" t="inlineStr"/>
    </row>
    <row r="175">
      <c r="A175" s="5" t="inlineStr">
        <is>
          <t>L5-20</t>
        </is>
      </c>
      <c r="B175" s="5" t="inlineStr">
        <is>
          <t>L5</t>
        </is>
      </c>
      <c r="C175" s="5" t="inlineStr">
        <is>
          <t>E5.5</t>
        </is>
      </c>
      <c r="D175" s="5" t="inlineStr">
        <is>
          <t>Circuit de validation configurable</t>
        </is>
      </c>
      <c r="E175" s="5" t="inlineStr">
        <is>
          <t>Test</t>
        </is>
      </c>
      <c r="F175" s="5" t="inlineStr">
        <is>
          <t>Tests du circuit configurable</t>
        </is>
      </c>
      <c r="G175" s="5" t="inlineStr">
        <is>
          <t>Quatre configurations du circuit et gel des valeurs à la soumission.</t>
        </is>
      </c>
      <c r="H175" s="5" t="inlineStr">
        <is>
          <t>- Matrice des quatre configurations sur SOUMETTRE et RESOUMETTRE
- Gel : paramètre modifié entre la soumission et l'approbation, sans effet sur le cycle en cours
- Échec du recontrôle à la publication automatique
- Absence de ValidationDepartement quand la validation n'est pas requise
- Audit du changement de paramètre</t>
        </is>
      </c>
      <c r="I175" s="5" t="inlineStr">
        <is>
          <t>EX-WFL-02</t>
        </is>
      </c>
      <c r="J175" s="5" t="inlineStr">
        <is>
          <t>§4.1.1</t>
        </is>
      </c>
      <c r="K175" s="5" t="inlineStr">
        <is>
          <t>QA</t>
        </is>
      </c>
      <c r="L175" s="5" t="inlineStr">
        <is>
          <t>Must</t>
        </is>
      </c>
      <c r="M175" s="5" t="n">
        <v>3</v>
      </c>
      <c r="N175" s="5" t="inlineStr">
        <is>
          <t>L5-18</t>
        </is>
      </c>
      <c r="O175" s="5" t="inlineStr">
        <is>
          <t>À faire</t>
        </is>
      </c>
      <c r="P175" s="5" t="inlineStr"/>
    </row>
    <row r="176">
      <c r="A176" s="5" t="inlineStr">
        <is>
          <t>L5-21</t>
        </is>
      </c>
      <c r="B176" s="5" t="inlineStr">
        <is>
          <t>L5</t>
        </is>
      </c>
      <c r="C176" s="5" t="inlineStr">
        <is>
          <t>E5.6</t>
        </is>
      </c>
      <c r="D176" s="5" t="inlineStr">
        <is>
          <t>Notifications</t>
        </is>
      </c>
      <c r="E176" s="5" t="inlineStr">
        <is>
          <t>Story</t>
        </is>
      </c>
      <c r="F176" s="5" t="inlineStr">
        <is>
          <t>Modèle et service de notification</t>
        </is>
      </c>
      <c r="G176" s="5" t="inlineStr">
        <is>
          <t>Table Notification, service d'émission dans la transaction du use case, catalogue d'événements et destinataires.</t>
        </is>
      </c>
      <c r="H176" s="5" t="inlineStr">
        <is>
          <t>- Une notification par destinataire, insérée dans la transaction métier
- Les événements et destinataires du tableau SF §14 sont tous branchés (soumission, validation à refaire, validation ou rejet, validation par l'Administrateur, périmètre prêt, génération, nouvelle version, publication, répartition rouverte, demandes)
- Destinataires résolus par rôle et périmètre
- Toutes les notifications ont la même priorité</t>
        </is>
      </c>
      <c r="I176" s="5" t="inlineStr">
        <is>
          <t>EX-NOT-03, EX-NOT-01</t>
        </is>
      </c>
      <c r="J176" s="5" t="inlineStr">
        <is>
          <t>§4.16, §1.7</t>
        </is>
      </c>
      <c r="K176" s="5" t="inlineStr">
        <is>
          <t>BACK</t>
        </is>
      </c>
      <c r="L176" s="5" t="inlineStr">
        <is>
          <t>Must</t>
        </is>
      </c>
      <c r="M176" s="5" t="n">
        <v>8</v>
      </c>
      <c r="N176" s="5" t="inlineStr">
        <is>
          <t>L5-01, L5-04, L2-12, L4-14, L2-15</t>
        </is>
      </c>
      <c r="O176" s="5" t="inlineStr">
        <is>
          <t>À faire</t>
        </is>
      </c>
      <c r="P176" s="5" t="inlineStr"/>
    </row>
    <row r="177">
      <c r="A177" s="5" t="inlineStr">
        <is>
          <t>L5-22</t>
        </is>
      </c>
      <c r="B177" s="5" t="inlineStr">
        <is>
          <t>L5</t>
        </is>
      </c>
      <c r="C177" s="5" t="inlineStr">
        <is>
          <t>E5.6</t>
        </is>
      </c>
      <c r="D177" s="5" t="inlineStr">
        <is>
          <t>Notifications</t>
        </is>
      </c>
      <c r="E177" s="5" t="inlineStr">
        <is>
          <t>Story</t>
        </is>
      </c>
      <c r="F177" s="5" t="inlineStr">
        <is>
          <t>File e-mail et SMTP institutionnel</t>
        </is>
      </c>
      <c r="G177" s="5" t="inlineStr">
        <is>
          <t>Processeur de la file email dans l'API, envoi par SMTP cck.rnu.tn, reprises exponentielles, file d'échecs et alerte.</t>
        </is>
      </c>
      <c r="H177" s="5" t="inlineStr">
        <is>
          <t>- Une panne SMTP ne bloque aucune transition
- Reprises avec backoff puis statut ECHEC, file d'échecs et alerte Grafana
- Contenu minimal : titre et lien, sans donnée de charge ni détail pédagogique
- Les e-mails obligatoires ne sont pas désactivables
- Paramètres SMTP et adresse expéditrice lus depuis les secrets</t>
        </is>
      </c>
      <c r="I177" s="5" t="inlineStr">
        <is>
          <t>EX-NOT-02</t>
        </is>
      </c>
      <c r="J177" s="5" t="inlineStr">
        <is>
          <t>§4.16, §1.7</t>
        </is>
      </c>
      <c r="K177" s="5" t="inlineStr">
        <is>
          <t>BACK</t>
        </is>
      </c>
      <c r="L177" s="5" t="inlineStr">
        <is>
          <t>Must</t>
        </is>
      </c>
      <c r="M177" s="5" t="n">
        <v>5</v>
      </c>
      <c r="N177" s="5" t="inlineStr">
        <is>
          <t>L5-21, L0-06</t>
        </is>
      </c>
      <c r="O177" s="5" t="inlineStr">
        <is>
          <t>À faire</t>
        </is>
      </c>
      <c r="P177" s="5" t="inlineStr"/>
    </row>
    <row r="178">
      <c r="A178" s="5" t="inlineStr">
        <is>
          <t>L5-23</t>
        </is>
      </c>
      <c r="B178" s="5" t="inlineStr">
        <is>
          <t>L5</t>
        </is>
      </c>
      <c r="C178" s="5" t="inlineStr">
        <is>
          <t>E5.6</t>
        </is>
      </c>
      <c r="D178" s="5" t="inlineStr">
        <is>
          <t>Notifications</t>
        </is>
      </c>
      <c r="E178" s="5" t="inlineStr">
        <is>
          <t>Story</t>
        </is>
      </c>
      <c r="F178" s="5" t="inlineStr">
        <is>
          <t>Boîte de réception (API et SSE)</t>
        </is>
      </c>
      <c r="G178" s="5" t="inlineStr">
        <is>
          <t>GET /notifications, marquage lu, tout lire, SSE /notifications/events.</t>
        </is>
      </c>
      <c r="H178" s="5" t="inlineStr">
        <is>
          <t>- Historique lu et non lu avec compteur
- Mise à jour en direct par SSE
- Une notification ne se lit que par son destinataire</t>
        </is>
      </c>
      <c r="I178" s="5" t="inlineStr">
        <is>
          <t>EX-NOT-01</t>
        </is>
      </c>
      <c r="J178" s="5" t="inlineStr">
        <is>
          <t>§3.3, §3.5</t>
        </is>
      </c>
      <c r="K178" s="5" t="inlineStr">
        <is>
          <t>BACK</t>
        </is>
      </c>
      <c r="L178" s="5" t="inlineStr">
        <is>
          <t>Must</t>
        </is>
      </c>
      <c r="M178" s="5" t="n">
        <v>3</v>
      </c>
      <c r="N178" s="5" t="inlineStr">
        <is>
          <t>L5-21</t>
        </is>
      </c>
      <c r="O178" s="5" t="inlineStr">
        <is>
          <t>À faire</t>
        </is>
      </c>
      <c r="P178" s="5" t="inlineStr"/>
    </row>
    <row r="179">
      <c r="A179" s="5" t="inlineStr">
        <is>
          <t>L5-24</t>
        </is>
      </c>
      <c r="B179" s="5" t="inlineStr">
        <is>
          <t>L5</t>
        </is>
      </c>
      <c r="C179" s="5" t="inlineStr">
        <is>
          <t>E5.6</t>
        </is>
      </c>
      <c r="D179" s="5" t="inlineStr">
        <is>
          <t>Notifications</t>
        </is>
      </c>
      <c r="E179" s="5" t="inlineStr">
        <is>
          <t>Story</t>
        </is>
      </c>
      <c r="F179" s="5" t="inlineStr">
        <is>
          <t>UI de la boîte de notifications</t>
        </is>
      </c>
      <c r="G179" s="5" t="inlineStr">
        <is>
          <t>Cloche, compteur, liste, marquage lu.</t>
        </is>
      </c>
      <c r="H179" s="5" t="inlineStr">
        <is>
          <t>- Le compteur se met à jour en direct
- Chaque notification mène à l'objet concerné</t>
        </is>
      </c>
      <c r="I179" s="5" t="inlineStr">
        <is>
          <t>EX-NOT-01</t>
        </is>
      </c>
      <c r="J179" s="5" t="inlineStr">
        <is>
          <t>§3.3</t>
        </is>
      </c>
      <c r="K179" s="5" t="inlineStr">
        <is>
          <t>FRONT</t>
        </is>
      </c>
      <c r="L179" s="5" t="inlineStr">
        <is>
          <t>Must</t>
        </is>
      </c>
      <c r="M179" s="5" t="n">
        <v>3</v>
      </c>
      <c r="N179" s="5" t="inlineStr">
        <is>
          <t>L5-23, L0-29</t>
        </is>
      </c>
      <c r="O179" s="5" t="inlineStr">
        <is>
          <t>À faire</t>
        </is>
      </c>
      <c r="P179" s="5" t="inlineStr"/>
    </row>
    <row r="180">
      <c r="A180" s="5" t="inlineStr">
        <is>
          <t>L5-25</t>
        </is>
      </c>
      <c r="B180" s="5" t="inlineStr">
        <is>
          <t>L5</t>
        </is>
      </c>
      <c r="C180" s="5" t="inlineStr">
        <is>
          <t>E5.6</t>
        </is>
      </c>
      <c r="D180" s="5" t="inlineStr">
        <is>
          <t>Notifications</t>
        </is>
      </c>
      <c r="E180" s="5" t="inlineStr">
        <is>
          <t>Test</t>
        </is>
      </c>
      <c r="F180" s="5" t="inlineStr">
        <is>
          <t>Tests des notifications</t>
        </is>
      </c>
      <c r="G180" s="5" t="inlineStr">
        <is>
          <t>SMTP factice, scénarios d'échec et de reprise.</t>
        </is>
      </c>
      <c r="H180" s="5" t="inlineStr">
        <is>
          <t>- Chaque événement du tableau produit les bonnes notifications et les bons e-mails
- Une panne SMTP simulée n'interrompt pas le workflow
- Les e-mails ne contiennent aucune donnée de charge</t>
        </is>
      </c>
      <c r="I180" s="5" t="inlineStr">
        <is>
          <t>EX-NOT-02, EX-NOT-03</t>
        </is>
      </c>
      <c r="J180" s="5" t="inlineStr">
        <is>
          <t>§5.5</t>
        </is>
      </c>
      <c r="K180" s="5" t="inlineStr">
        <is>
          <t>QA</t>
        </is>
      </c>
      <c r="L180" s="5" t="inlineStr">
        <is>
          <t>Must</t>
        </is>
      </c>
      <c r="M180" s="5" t="n">
        <v>3</v>
      </c>
      <c r="N180" s="5" t="inlineStr">
        <is>
          <t>L5-22</t>
        </is>
      </c>
      <c r="O180" s="5" t="inlineStr">
        <is>
          <t>À faire</t>
        </is>
      </c>
      <c r="P180" s="5" t="inlineStr"/>
    </row>
    <row r="181">
      <c r="A181" s="5" t="inlineStr">
        <is>
          <t>L5-26</t>
        </is>
      </c>
      <c r="B181" s="5" t="inlineStr">
        <is>
          <t>L5</t>
        </is>
      </c>
      <c r="C181" s="5" t="inlineStr">
        <is>
          <t>E5.7</t>
        </is>
      </c>
      <c r="D181" s="5" t="inlineStr">
        <is>
          <t>Tableau de bord</t>
        </is>
      </c>
      <c r="E181" s="5" t="inlineStr">
        <is>
          <t>Story</t>
        </is>
      </c>
      <c r="F181" s="5" t="inlineStr">
        <is>
          <t>API du tableau de bord et règles d'actions</t>
        </is>
      </c>
      <c r="G181" s="5" t="inlineStr">
        <is>
          <t>GET /tableau-de-bord : agrégation par rôle, actions prioritaires déterministes (cinq au plus).</t>
        </is>
      </c>
      <c r="H181" s="5" t="inlineStr">
        <is>
          <t>- Contenu : contexte, répartitions, validations en attente, préparation, version en préparation, générations, version publiée avec provenance, changements
- Huit règles d'action évaluées dans l'ordre de ST §4.17, chacune avec sa cause et un lien direct
- Au plus cinq actions affichées, liste complète sur demande
- Aucune nouvelle table ; &lt; 500 ms (p95)</t>
        </is>
      </c>
      <c r="I181" s="5" t="inlineStr">
        <is>
          <t>EX-TDB-01, EX-TDB-02</t>
        </is>
      </c>
      <c r="J181" s="5" t="inlineStr">
        <is>
          <t>§4.17, §3.4.20</t>
        </is>
      </c>
      <c r="K181" s="5" t="inlineStr">
        <is>
          <t>BACK</t>
        </is>
      </c>
      <c r="L181" s="5" t="inlineStr">
        <is>
          <t>Must</t>
        </is>
      </c>
      <c r="M181" s="5" t="n">
        <v>8</v>
      </c>
      <c r="N181" s="5" t="inlineStr">
        <is>
          <t>L4-12, L5-03, L5-23, L5-12, L2-10</t>
        </is>
      </c>
      <c r="O181" s="5" t="inlineStr">
        <is>
          <t>À faire</t>
        </is>
      </c>
      <c r="P181" s="5" t="inlineStr"/>
    </row>
    <row r="182">
      <c r="A182" s="5" t="inlineStr">
        <is>
          <t>L5-27</t>
        </is>
      </c>
      <c r="B182" s="5" t="inlineStr">
        <is>
          <t>L5</t>
        </is>
      </c>
      <c r="C182" s="5" t="inlineStr">
        <is>
          <t>E5.7</t>
        </is>
      </c>
      <c r="D182" s="5" t="inlineStr">
        <is>
          <t>Tableau de bord</t>
        </is>
      </c>
      <c r="E182" s="5" t="inlineStr">
        <is>
          <t>Story</t>
        </is>
      </c>
      <c r="F182" s="5" t="inlineStr">
        <is>
          <t>UI tableau de bord Gestionnaire et Administrateur</t>
        </is>
      </c>
      <c r="G182" s="5" t="inlineStr">
        <is>
          <t>Page d'accueil avec blocs, actions prioritaires et liens directs.</t>
        </is>
      </c>
      <c r="H182" s="5" t="inlineStr">
        <is>
          <t>- Chaque anomalie mène directement à l'objet à corriger
- Le tableau répond aux sept questions de la SF §18</t>
        </is>
      </c>
      <c r="I182" s="5" t="inlineStr">
        <is>
          <t>EX-TDB-01</t>
        </is>
      </c>
      <c r="J182" s="5" t="inlineStr">
        <is>
          <t>§4.17</t>
        </is>
      </c>
      <c r="K182" s="5" t="inlineStr">
        <is>
          <t>FRONT</t>
        </is>
      </c>
      <c r="L182" s="5" t="inlineStr">
        <is>
          <t>Must</t>
        </is>
      </c>
      <c r="M182" s="5" t="n">
        <v>8</v>
      </c>
      <c r="N182" s="5" t="inlineStr">
        <is>
          <t>L5-26, L0-29</t>
        </is>
      </c>
      <c r="O182" s="5" t="inlineStr">
        <is>
          <t>À faire</t>
        </is>
      </c>
      <c r="P182" s="5" t="inlineStr"/>
    </row>
    <row r="183">
      <c r="A183" s="5" t="inlineStr">
        <is>
          <t>L5-28</t>
        </is>
      </c>
      <c r="B183" s="5" t="inlineStr">
        <is>
          <t>L5</t>
        </is>
      </c>
      <c r="C183" s="5" t="inlineStr">
        <is>
          <t>E5.7</t>
        </is>
      </c>
      <c r="D183" s="5" t="inlineStr">
        <is>
          <t>Tableau de bord</t>
        </is>
      </c>
      <c r="E183" s="5" t="inlineStr">
        <is>
          <t>Story</t>
        </is>
      </c>
      <c r="F183" s="5" t="inlineStr">
        <is>
          <t>UI tableau de bord Responsable et Direction</t>
        </is>
      </c>
      <c r="G183" s="5" t="inlineStr">
        <is>
          <t>Responsable : répartitions, charges et alertes, validations, demandes. Direction : version publiée et exports.</t>
        </is>
      </c>
      <c r="H183" s="5" t="inlineStr">
        <is>
          <t>- Le Responsable ne voit que son département et le total inter-départements
- La Direction n'a aucune action d'écriture</t>
        </is>
      </c>
      <c r="I183" s="5" t="inlineStr">
        <is>
          <t>EX-TDB-02</t>
        </is>
      </c>
      <c r="J183" s="5" t="inlineStr">
        <is>
          <t>§4.17</t>
        </is>
      </c>
      <c r="K183" s="5" t="inlineStr">
        <is>
          <t>FRONT</t>
        </is>
      </c>
      <c r="L183" s="5" t="inlineStr">
        <is>
          <t>Must</t>
        </is>
      </c>
      <c r="M183" s="5" t="n">
        <v>5</v>
      </c>
      <c r="N183" s="5" t="inlineStr">
        <is>
          <t>L5-26, L0-29</t>
        </is>
      </c>
      <c r="O183" s="5" t="inlineStr">
        <is>
          <t>À faire</t>
        </is>
      </c>
      <c r="P183" s="5" t="inlineStr"/>
    </row>
    <row r="184">
      <c r="A184" s="5" t="inlineStr">
        <is>
          <t>L5-29</t>
        </is>
      </c>
      <c r="B184" s="5" t="inlineStr">
        <is>
          <t>L5</t>
        </is>
      </c>
      <c r="C184" s="5" t="inlineStr">
        <is>
          <t>E5.8</t>
        </is>
      </c>
      <c r="D184" s="5" t="inlineStr">
        <is>
          <t>Espace Direction</t>
        </is>
      </c>
      <c r="E184" s="5" t="inlineStr">
        <is>
          <t>Story</t>
        </is>
      </c>
      <c r="F184" s="5" t="inlineStr">
        <is>
          <t>Consultation par la Direction</t>
        </is>
      </c>
      <c r="G184" s="5" t="inlineStr">
        <is>
          <t>Accès en lecture seule aux plannings publiés et archivés, exports officiels, répartition, charges, contraintes et audit.</t>
        </is>
      </c>
      <c r="H184" s="5" t="inlineStr">
        <is>
          <t>- Aucune route d'écriture accessible
- Aucun accès aux versions de travail, aux générations, aux verrous ni au journal de sécurité
- Navigation dédiée dans l'interface</t>
        </is>
      </c>
      <c r="I184" s="5" t="inlineStr">
        <is>
          <t>EX-ROL-04</t>
        </is>
      </c>
      <c r="J184" s="5" t="inlineStr">
        <is>
          <t>§5.2</t>
        </is>
      </c>
      <c r="K184" s="5" t="inlineStr">
        <is>
          <t>FULL</t>
        </is>
      </c>
      <c r="L184" s="5" t="inlineStr">
        <is>
          <t>Must</t>
        </is>
      </c>
      <c r="M184" s="5" t="n">
        <v>5</v>
      </c>
      <c r="N184" s="5" t="inlineStr">
        <is>
          <t>L3-11, L0-24, L0-29</t>
        </is>
      </c>
      <c r="O184" s="5" t="inlineStr">
        <is>
          <t>À faire</t>
        </is>
      </c>
      <c r="P184" s="5" t="inlineStr"/>
    </row>
    <row r="185">
      <c r="A185" s="5" t="inlineStr">
        <is>
          <t>L6-01</t>
        </is>
      </c>
      <c r="B185" s="5" t="inlineStr">
        <is>
          <t>L6</t>
        </is>
      </c>
      <c r="C185" s="5" t="inlineStr">
        <is>
          <t>E6.1</t>
        </is>
      </c>
      <c r="D185" s="5" t="inlineStr">
        <is>
          <t>Spike PDF/Excel (S2)</t>
        </is>
      </c>
      <c r="E185" s="5" t="inlineStr">
        <is>
          <t>Spike</t>
        </is>
      </c>
      <c r="F185" s="5" t="inlineStr">
        <is>
          <t>Spike S2 : rendu PDF/Excel</t>
        </is>
      </c>
      <c r="G185" s="5" t="inlineStr">
        <is>
          <t>Polices françaises, taille et temps de rendu.</t>
        </is>
      </c>
      <c r="H185" s="5" t="inlineStr">
        <is>
          <t>- Comparatif Playwright et bibliothèque dédiée documenté
- ADR de choix et temps de rendu pour 100 pages
- Rendu lisible en noir et blanc (états par icône et libellé)</t>
        </is>
      </c>
      <c r="I185" s="5" t="inlineStr">
        <is>
          <t>EX-EXP-02</t>
        </is>
      </c>
      <c r="J185" s="5" t="inlineStr">
        <is>
          <t>§6.1</t>
        </is>
      </c>
      <c r="K185" s="5" t="inlineStr">
        <is>
          <t>BACK</t>
        </is>
      </c>
      <c r="L185" s="5" t="inlineStr">
        <is>
          <t>Must</t>
        </is>
      </c>
      <c r="M185" s="5" t="n">
        <v>5</v>
      </c>
      <c r="N185" s="5" t="inlineStr"/>
      <c r="O185" s="5" t="inlineStr">
        <is>
          <t>À faire</t>
        </is>
      </c>
      <c r="P185" s="5" t="inlineStr"/>
    </row>
    <row r="186">
      <c r="A186" s="5" t="inlineStr">
        <is>
          <t>L6-02</t>
        </is>
      </c>
      <c r="B186" s="5" t="inlineStr">
        <is>
          <t>L6</t>
        </is>
      </c>
      <c r="C186" s="5" t="inlineStr">
        <is>
          <t>E6.2</t>
        </is>
      </c>
      <c r="D186" s="5" t="inlineStr">
        <is>
          <t>Modèles &amp; jobs d'export</t>
        </is>
      </c>
      <c r="E186" s="5" t="inlineStr">
        <is>
          <t>Story</t>
        </is>
      </c>
      <c r="F186" s="5" t="inlineStr">
        <is>
          <t>Modèles visuels d'export versionnés</t>
        </is>
      </c>
      <c r="G186" s="5" t="inlineStr">
        <is>
          <t>ExportStyle : logo(s), en-tête, pied de page, couleurs, orientation, format, éléments affichés ; versionné et immuable une fois utilisé.</t>
        </is>
      </c>
      <c r="H186" s="5" t="inlineStr">
        <is>
          <t>- Un style utilisé n'est jamais modifié, toute évolution crée styleVersion+1
- CRUD réservé à l'Administrateur
- Les logos sont stockés via FileStore
- Le style par défaut utilise TAKT_logo_monochrome_deep.svg</t>
        </is>
      </c>
      <c r="I186" s="5" t="inlineStr">
        <is>
          <t>EX-EXP-04</t>
        </is>
      </c>
      <c r="J186" s="5" t="inlineStr">
        <is>
          <t>§4.18, §2.2</t>
        </is>
      </c>
      <c r="K186" s="5" t="inlineStr">
        <is>
          <t>BACK</t>
        </is>
      </c>
      <c r="L186" s="5" t="inlineStr">
        <is>
          <t>Must</t>
        </is>
      </c>
      <c r="M186" s="5" t="n">
        <v>5</v>
      </c>
      <c r="N186" s="5" t="inlineStr">
        <is>
          <t>L5-07</t>
        </is>
      </c>
      <c r="O186" s="5" t="inlineStr">
        <is>
          <t>À faire</t>
        </is>
      </c>
      <c r="P186" s="5" t="inlineStr"/>
    </row>
    <row r="187">
      <c r="A187" s="5" t="inlineStr">
        <is>
          <t>L6-03</t>
        </is>
      </c>
      <c r="B187" s="5" t="inlineStr">
        <is>
          <t>L6</t>
        </is>
      </c>
      <c r="C187" s="5" t="inlineStr">
        <is>
          <t>E6.2</t>
        </is>
      </c>
      <c r="D187" s="5" t="inlineStr">
        <is>
          <t>Modèles &amp; jobs d'export</t>
        </is>
      </c>
      <c r="E187" s="5" t="inlineStr">
        <is>
          <t>Story</t>
        </is>
      </c>
      <c r="F187" s="5" t="inlineStr">
        <is>
          <t>Configurations de vue d'export versionnées</t>
        </is>
      </c>
      <c r="G187" s="5" t="inlineStr">
        <is>
          <t>ExportView : vue (groupe, enseignant, salle, formation, département, globale, charges), colonnes, ordre, feuilles, regroupements.</t>
        </is>
      </c>
      <c r="H187" s="5" t="inlineStr">
        <is>
          <t>- CRUD par le Gestionnaire et l'Administrateur
- Versionné et immuable une fois utilisé
- Les sept vues sont disponibles</t>
        </is>
      </c>
      <c r="I187" s="5" t="inlineStr">
        <is>
          <t>EX-EXP-04, EX-EXP-01</t>
        </is>
      </c>
      <c r="J187" s="5" t="inlineStr">
        <is>
          <t>§4.18</t>
        </is>
      </c>
      <c r="K187" s="5" t="inlineStr">
        <is>
          <t>BACK</t>
        </is>
      </c>
      <c r="L187" s="5" t="inlineStr">
        <is>
          <t>Must</t>
        </is>
      </c>
      <c r="M187" s="5" t="n">
        <v>5</v>
      </c>
      <c r="N187" s="5" t="inlineStr">
        <is>
          <t>L6-02</t>
        </is>
      </c>
      <c r="O187" s="5" t="inlineStr">
        <is>
          <t>À faire</t>
        </is>
      </c>
      <c r="P187" s="5" t="inlineStr"/>
    </row>
    <row r="188">
      <c r="A188" s="5" t="inlineStr">
        <is>
          <t>L6-04</t>
        </is>
      </c>
      <c r="B188" s="5" t="inlineStr">
        <is>
          <t>L6</t>
        </is>
      </c>
      <c r="C188" s="5" t="inlineStr">
        <is>
          <t>E6.2</t>
        </is>
      </c>
      <c r="D188" s="5" t="inlineStr">
        <is>
          <t>Modèles &amp; jobs d'export</t>
        </is>
      </c>
      <c r="E188" s="5" t="inlineStr">
        <is>
          <t>Story</t>
        </is>
      </c>
      <c r="F188" s="5" t="inlineStr">
        <is>
          <t>Jobs d'export asynchrones</t>
        </is>
      </c>
      <c r="G188" s="5" t="inlineStr">
        <is>
          <t>POST /exports, statut, téléchargement par URL signée.</t>
        </is>
      </c>
      <c r="H188" s="5" t="inlineStr">
        <is>
          <t>- Les versions du style et de la vue sont enregistrées dans ExportJob
- Droits : Administrateur et Gestionnaire tout ; Responsable son département ; Direction exports officiels (403 OUT_OF_SCOPE ou 422 sinon)
- Échec de job avec message, relance manuelle, limite de taille
- Chaque téléchargement écrit dans le journal de sécurité</t>
        </is>
      </c>
      <c r="I188" s="5" t="inlineStr">
        <is>
          <t>EX-EXP-06, EX-EXP-05</t>
        </is>
      </c>
      <c r="J188" s="5" t="inlineStr">
        <is>
          <t>§3.4.14, §4.18, §4.19</t>
        </is>
      </c>
      <c r="K188" s="5" t="inlineStr">
        <is>
          <t>BACK</t>
        </is>
      </c>
      <c r="L188" s="5" t="inlineStr">
        <is>
          <t>Must</t>
        </is>
      </c>
      <c r="M188" s="5" t="n">
        <v>8</v>
      </c>
      <c r="N188" s="5" t="inlineStr">
        <is>
          <t>L6-03, L0-07, L4-07, L0-18</t>
        </is>
      </c>
      <c r="O188" s="5" t="inlineStr">
        <is>
          <t>À faire</t>
        </is>
      </c>
      <c r="P188" s="5" t="inlineStr"/>
    </row>
    <row r="189">
      <c r="A189" s="5" t="inlineStr">
        <is>
          <t>L6-05</t>
        </is>
      </c>
      <c r="B189" s="5" t="inlineStr">
        <is>
          <t>L6</t>
        </is>
      </c>
      <c r="C189" s="5" t="inlineStr">
        <is>
          <t>E6.2</t>
        </is>
      </c>
      <c r="D189" s="5" t="inlineStr">
        <is>
          <t>Modèles &amp; jobs d'export</t>
        </is>
      </c>
      <c r="E189" s="5" t="inlineStr">
        <is>
          <t>Story</t>
        </is>
      </c>
      <c r="F189" s="5" t="inlineStr">
        <is>
          <t>Brouillon, officiel, grille Ramadan et avertissements</t>
        </is>
      </c>
      <c r="G189" s="5" t="inlineStr">
        <is>
          <t>Export filigrané pour version non publiée, officiel pour PUBLIE ou ARCHIVE, choix de grille, avertissements acceptés.</t>
        </is>
      </c>
      <c r="H189" s="5" t="inlineStr">
        <is>
          <t>- Export officiel refusé hors PUBLIE ou ARCHIVE
- Export brouillon : réservé aux versions non publiées (422 sur une version PUBLIE ou ARCHIVE), filigrane BROUILLON (Deep, opacité 0,1, -45°, répété) et numéro de version ; le filigrane n'apparaît jamais sur une version publiée
- Export officiel : numéro de version, date de publication, grille utilisée et avertissements acceptés en pied de page
- La grille Ramadan figée de la version est utilisée pour l'export officiel
- Régénération d'un export historique avec les versions enregistrées</t>
        </is>
      </c>
      <c r="I189" s="5" t="inlineStr">
        <is>
          <t>EX-EXP-05, EX-CAL-04</t>
        </is>
      </c>
      <c r="J189" s="5" t="inlineStr">
        <is>
          <t>§4.18, §4.1.1.1</t>
        </is>
      </c>
      <c r="K189" s="5" t="inlineStr">
        <is>
          <t>BACK</t>
        </is>
      </c>
      <c r="L189" s="5" t="inlineStr">
        <is>
          <t>Must</t>
        </is>
      </c>
      <c r="M189" s="5" t="n">
        <v>5</v>
      </c>
      <c r="N189" s="5" t="inlineStr">
        <is>
          <t>L6-04, L3-39</t>
        </is>
      </c>
      <c r="O189" s="5" t="inlineStr">
        <is>
          <t>À faire</t>
        </is>
      </c>
      <c r="P189" s="5" t="inlineStr"/>
    </row>
    <row r="190">
      <c r="A190" s="5" t="inlineStr">
        <is>
          <t>L6-06</t>
        </is>
      </c>
      <c r="B190" s="5" t="inlineStr">
        <is>
          <t>L6</t>
        </is>
      </c>
      <c r="C190" s="5" t="inlineStr">
        <is>
          <t>E6.3</t>
        </is>
      </c>
      <c r="D190" s="5" t="inlineStr">
        <is>
          <t>Rendus XLSX/PDF</t>
        </is>
      </c>
      <c r="E190" s="5" t="inlineStr">
        <is>
          <t>Story</t>
        </is>
      </c>
      <c r="F190" s="5" t="inlineStr">
        <is>
          <t>Rendu XLSX</t>
        </is>
      </c>
      <c r="G190" s="5" t="inlineStr">
        <is>
          <t>ExcelJS : grilles par groupe, enseignant, salle, formation, département et vue globale ; structure configurable.</t>
        </is>
      </c>
      <c r="H190" s="5" t="inlineStr">
        <is>
          <t>- Grille jours/créneaux fidèle à la version
- Colonnes, feuilles, ordre et regroupements selon la configuration de vue
- Plusieurs objets par classeur</t>
        </is>
      </c>
      <c r="I190" s="5" t="inlineStr">
        <is>
          <t>EX-EXP-03</t>
        </is>
      </c>
      <c r="J190" s="5" t="inlineStr">
        <is>
          <t>§4.18</t>
        </is>
      </c>
      <c r="K190" s="5" t="inlineStr">
        <is>
          <t>BACK</t>
        </is>
      </c>
      <c r="L190" s="5" t="inlineStr">
        <is>
          <t>Must</t>
        </is>
      </c>
      <c r="M190" s="5" t="n">
        <v>8</v>
      </c>
      <c r="N190" s="5" t="inlineStr">
        <is>
          <t>L6-04</t>
        </is>
      </c>
      <c r="O190" s="5" t="inlineStr">
        <is>
          <t>À faire</t>
        </is>
      </c>
      <c r="P190" s="5" t="inlineStr"/>
    </row>
    <row r="191">
      <c r="A191" s="5" t="inlineStr">
        <is>
          <t>L6-07</t>
        </is>
      </c>
      <c r="B191" s="5" t="inlineStr">
        <is>
          <t>L6</t>
        </is>
      </c>
      <c r="C191" s="5" t="inlineStr">
        <is>
          <t>E6.3</t>
        </is>
      </c>
      <c r="D191" s="5" t="inlineStr">
        <is>
          <t>Rendus XLSX/PDF</t>
        </is>
      </c>
      <c r="E191" s="5" t="inlineStr">
        <is>
          <t>Story</t>
        </is>
      </c>
      <c r="F191" s="5" t="inlineStr">
        <is>
          <t>Rendu PDF</t>
        </is>
      </c>
      <c r="G191" s="5" t="inlineStr">
        <is>
          <t>HTML vers PDF (Playwright/Chromium), A4 ou A3, logo, orientation, couleurs, locale française.</t>
        </is>
      </c>
      <c r="H191" s="5" t="inlineStr">
        <is>
          <t>- Polices françaises auto-hébergées rendues correctement
- Export de 100 pages &lt; 60 s
- États lisibles en noir et blanc (icône et libellé en plus de la couleur)
- Le modèle visuel détermine en-tête, pied de page, couleurs et format
- Impression monochrome selon export.print_monochrome des tokens (encres #000/#333/#666, bordure #808080) ; logo imprimé à 30 mm minimum (master), 20 mm (compact), 6 mm (symbole)</t>
        </is>
      </c>
      <c r="I191" s="5" t="inlineStr">
        <is>
          <t>EX-EXP-02, EX-NFR-04</t>
        </is>
      </c>
      <c r="J191" s="5" t="inlineStr">
        <is>
          <t>§4.18, §5.4</t>
        </is>
      </c>
      <c r="K191" s="5" t="inlineStr">
        <is>
          <t>BACK</t>
        </is>
      </c>
      <c r="L191" s="5" t="inlineStr">
        <is>
          <t>Must</t>
        </is>
      </c>
      <c r="M191" s="5" t="n">
        <v>13</v>
      </c>
      <c r="N191" s="5" t="inlineStr">
        <is>
          <t>L6-04, L6-01, L0-05</t>
        </is>
      </c>
      <c r="O191" s="5" t="inlineStr">
        <is>
          <t>À faire</t>
        </is>
      </c>
      <c r="P191" s="5" t="inlineStr"/>
    </row>
    <row r="192">
      <c r="A192" s="5" t="inlineStr">
        <is>
          <t>L6-08</t>
        </is>
      </c>
      <c r="B192" s="5" t="inlineStr">
        <is>
          <t>L6</t>
        </is>
      </c>
      <c r="C192" s="5" t="inlineStr">
        <is>
          <t>E6.3</t>
        </is>
      </c>
      <c r="D192" s="5" t="inlineStr">
        <is>
          <t>Rendus XLSX/PDF</t>
        </is>
      </c>
      <c r="E192" s="5" t="inlineStr">
        <is>
          <t>Story</t>
        </is>
      </c>
      <c r="F192" s="5" t="inlineStr">
        <is>
          <t>Export des charges</t>
        </is>
      </c>
      <c r="G192" s="5" t="inlineStr">
        <is>
          <t>Volume brut, charge calculée, charge de référence, service dû, écart et heures supplémentaires par enseignant et département.</t>
        </is>
      </c>
      <c r="H192" s="5" t="inlineStr">
        <is>
          <t>- Valeurs identiques à celles du snapshot de la version
- Heures supplémentaires et plafond mis en évidence
- Le Responsable n'exporte que son département</t>
        </is>
      </c>
      <c r="I192" s="5" t="inlineStr">
        <is>
          <t>EX-EXP-01, EX-EXP-06</t>
        </is>
      </c>
      <c r="J192" s="5" t="inlineStr">
        <is>
          <t>§4.2, §4.18</t>
        </is>
      </c>
      <c r="K192" s="5" t="inlineStr">
        <is>
          <t>BACK</t>
        </is>
      </c>
      <c r="L192" s="5" t="inlineStr">
        <is>
          <t>Should</t>
        </is>
      </c>
      <c r="M192" s="5" t="n">
        <v>5</v>
      </c>
      <c r="N192" s="5" t="inlineStr">
        <is>
          <t>L6-04, L2-10</t>
        </is>
      </c>
      <c r="O192" s="5" t="inlineStr">
        <is>
          <t>À faire</t>
        </is>
      </c>
      <c r="P192" s="5" t="inlineStr"/>
    </row>
    <row r="193">
      <c r="A193" s="5" t="inlineStr">
        <is>
          <t>L6-09</t>
        </is>
      </c>
      <c r="B193" s="5" t="inlineStr">
        <is>
          <t>L6</t>
        </is>
      </c>
      <c r="C193" s="5" t="inlineStr">
        <is>
          <t>E6.4</t>
        </is>
      </c>
      <c r="D193" s="5" t="inlineStr">
        <is>
          <t>UI exports</t>
        </is>
      </c>
      <c r="E193" s="5" t="inlineStr">
        <is>
          <t>Story</t>
        </is>
      </c>
      <c r="F193" s="5" t="inlineStr">
        <is>
          <t>UI exports</t>
        </is>
      </c>
      <c r="G193" s="5" t="inlineStr">
        <is>
          <t>Choix de la vue, du style, du périmètre, de la grille et du mode ; suivi et téléchargement.</t>
        </is>
      </c>
      <c r="H193" s="5" t="inlineStr">
        <is>
          <t>- Suivi de statut du job
- Téléchargement via URL signée
- Les choix proposés dépendent du rôle</t>
        </is>
      </c>
      <c r="I193" s="5" t="inlineStr">
        <is>
          <t>EX-EXP-05, EX-EXP-06</t>
        </is>
      </c>
      <c r="J193" s="5" t="inlineStr">
        <is>
          <t>§3.3</t>
        </is>
      </c>
      <c r="K193" s="5" t="inlineStr">
        <is>
          <t>FRONT</t>
        </is>
      </c>
      <c r="L193" s="5" t="inlineStr">
        <is>
          <t>Must</t>
        </is>
      </c>
      <c r="M193" s="5" t="n">
        <v>5</v>
      </c>
      <c r="N193" s="5" t="inlineStr">
        <is>
          <t>L6-04, L0-29</t>
        </is>
      </c>
      <c r="O193" s="5" t="inlineStr">
        <is>
          <t>À faire</t>
        </is>
      </c>
      <c r="P193" s="5" t="inlineStr"/>
    </row>
    <row r="194">
      <c r="A194" s="5" t="inlineStr">
        <is>
          <t>L6-10</t>
        </is>
      </c>
      <c r="B194" s="5" t="inlineStr">
        <is>
          <t>L6</t>
        </is>
      </c>
      <c r="C194" s="5" t="inlineStr">
        <is>
          <t>E6.4</t>
        </is>
      </c>
      <c r="D194" s="5" t="inlineStr">
        <is>
          <t>UI exports</t>
        </is>
      </c>
      <c r="E194" s="5" t="inlineStr">
        <is>
          <t>Story</t>
        </is>
      </c>
      <c r="F194" s="5" t="inlineStr">
        <is>
          <t>UI modèles visuels et configurations de vue</t>
        </is>
      </c>
      <c r="G194" s="5" t="inlineStr">
        <is>
          <t>Édition des styles (Administrateur) et des vues (Gestionnaire et Administrateur) avec aperçu.</t>
        </is>
      </c>
      <c r="H194" s="5" t="inlineStr">
        <is>
          <t>- Aperçu avant enregistrement
- Un modèle utilisé se duplique en nouvelle version
- Seul l'Administrateur modifie les styles</t>
        </is>
      </c>
      <c r="I194" s="5" t="inlineStr">
        <is>
          <t>EX-EXP-04</t>
        </is>
      </c>
      <c r="J194" s="5" t="inlineStr">
        <is>
          <t>§4.18</t>
        </is>
      </c>
      <c r="K194" s="5" t="inlineStr">
        <is>
          <t>FRONT</t>
        </is>
      </c>
      <c r="L194" s="5" t="inlineStr">
        <is>
          <t>Should</t>
        </is>
      </c>
      <c r="M194" s="5" t="n">
        <v>5</v>
      </c>
      <c r="N194" s="5" t="inlineStr">
        <is>
          <t>L6-02, L6-03, L0-29</t>
        </is>
      </c>
      <c r="O194" s="5" t="inlineStr">
        <is>
          <t>À faire</t>
        </is>
      </c>
      <c r="P194" s="5" t="inlineStr"/>
    </row>
    <row r="195">
      <c r="A195" s="5" t="inlineStr">
        <is>
          <t>L7-01</t>
        </is>
      </c>
      <c r="B195" s="5" t="inlineStr">
        <is>
          <t>L7</t>
        </is>
      </c>
      <c r="C195" s="5" t="inlineStr">
        <is>
          <t>E7.1</t>
        </is>
      </c>
      <c r="D195" s="5" t="inlineStr">
        <is>
          <t>Clôture &amp; archivage</t>
        </is>
      </c>
      <c r="E195" s="5" t="inlineStr">
        <is>
          <t>Story</t>
        </is>
      </c>
      <c r="F195" s="5" t="inlineStr">
        <is>
          <t>Clôture d'année avec confirmation</t>
        </is>
      </c>
      <c r="G195" s="5" t="inlineStr">
        <is>
          <t>POST /annees/{id}/transitions CLOTURER avec confirmation par code de l'année.</t>
        </is>
      </c>
      <c r="H195" s="5" t="inlineStr">
        <is>
          <t>- 422 CONFIRMATION_MISMATCH si la confirmation diffère du code de l'année
- Clôture refusée (422) si une version est EN_VALIDATION
- Versions non publiées archivées avec le motif « clôture »
- Aucune action de réouverture n'existe
- Audit de la clôture (closedAt, closedBy)</t>
        </is>
      </c>
      <c r="I195" s="5" t="inlineStr">
        <is>
          <t>EX-CAL-05</t>
        </is>
      </c>
      <c r="J195" s="5" t="inlineStr">
        <is>
          <t>§4.1.3, §3.4.15</t>
        </is>
      </c>
      <c r="K195" s="5" t="inlineStr">
        <is>
          <t>BACK</t>
        </is>
      </c>
      <c r="L195" s="5" t="inlineStr">
        <is>
          <t>Must</t>
        </is>
      </c>
      <c r="M195" s="5" t="n">
        <v>5</v>
      </c>
      <c r="N195" s="5" t="inlineStr">
        <is>
          <t>L1-02, L5-01</t>
        </is>
      </c>
      <c r="O195" s="5" t="inlineStr">
        <is>
          <t>À faire</t>
        </is>
      </c>
      <c r="P195" s="5" t="inlineStr"/>
    </row>
    <row r="196">
      <c r="A196" s="5" t="inlineStr">
        <is>
          <t>L7-02</t>
        </is>
      </c>
      <c r="B196" s="5" t="inlineStr">
        <is>
          <t>L7</t>
        </is>
      </c>
      <c r="C196" s="5" t="inlineStr">
        <is>
          <t>E7.1</t>
        </is>
      </c>
      <c r="D196" s="5" t="inlineStr">
        <is>
          <t>Clôture &amp; archivage</t>
        </is>
      </c>
      <c r="E196" s="5" t="inlineStr">
        <is>
          <t>Story</t>
        </is>
      </c>
      <c r="F196" s="5" t="inlineStr">
        <is>
          <t>UI de clôture</t>
        </is>
      </c>
      <c r="G196" s="5" t="inlineStr">
        <is>
          <t>Boîte de dialogue de confirmation.</t>
        </is>
      </c>
      <c r="H196" s="5" t="inlineStr">
        <is>
          <t>- Elle liste les conséquences : lecture seule, irréversible, nombre de versions non publiées archivées
- Le bouton ne s'active qu'après saisie du code de l'année</t>
        </is>
      </c>
      <c r="I196" s="5" t="inlineStr">
        <is>
          <t>EX-CAL-05</t>
        </is>
      </c>
      <c r="J196" s="5" t="inlineStr">
        <is>
          <t>§3.4.15</t>
        </is>
      </c>
      <c r="K196" s="5" t="inlineStr">
        <is>
          <t>FRONT</t>
        </is>
      </c>
      <c r="L196" s="5" t="inlineStr">
        <is>
          <t>Must</t>
        </is>
      </c>
      <c r="M196" s="5" t="n">
        <v>3</v>
      </c>
      <c r="N196" s="5" t="inlineStr">
        <is>
          <t>L7-01, L0-29</t>
        </is>
      </c>
      <c r="O196" s="5" t="inlineStr">
        <is>
          <t>À faire</t>
        </is>
      </c>
      <c r="P196" s="5" t="inlineStr"/>
    </row>
    <row r="197">
      <c r="A197" s="5" t="inlineStr">
        <is>
          <t>L7-03</t>
        </is>
      </c>
      <c r="B197" s="5" t="inlineStr">
        <is>
          <t>L7</t>
        </is>
      </c>
      <c r="C197" s="5" t="inlineStr">
        <is>
          <t>E7.1</t>
        </is>
      </c>
      <c r="D197" s="5" t="inlineStr">
        <is>
          <t>Clôture &amp; archivage</t>
        </is>
      </c>
      <c r="E197" s="5" t="inlineStr">
        <is>
          <t>Story</t>
        </is>
      </c>
      <c r="F197" s="5" t="inlineStr">
        <is>
          <t>Consultation des années clôturées en lecture seule</t>
        </is>
      </c>
      <c r="G197" s="5" t="inlineStr">
        <is>
          <t>Planning, répartition, charges, versions, audit et exports d'une année clôturée.</t>
        </is>
      </c>
      <c r="H197" s="5" t="inlineStr">
        <is>
          <t>- Aucune écriture possible sur une année clôturée, Administrateur compris
- Exports officiels régénérables à l'identique
- Un test d'immutabilité couvre toutes les tables dérivées</t>
        </is>
      </c>
      <c r="I197" s="5" t="inlineStr">
        <is>
          <t>EX-CAL-06</t>
        </is>
      </c>
      <c r="J197" s="5" t="inlineStr">
        <is>
          <t>§4.1.3, §2.4</t>
        </is>
      </c>
      <c r="K197" s="5" t="inlineStr">
        <is>
          <t>FULL</t>
        </is>
      </c>
      <c r="L197" s="5" t="inlineStr">
        <is>
          <t>Must</t>
        </is>
      </c>
      <c r="M197" s="5" t="n">
        <v>5</v>
      </c>
      <c r="N197" s="5" t="inlineStr">
        <is>
          <t>L7-01</t>
        </is>
      </c>
      <c r="O197" s="5" t="inlineStr">
        <is>
          <t>À faire</t>
        </is>
      </c>
      <c r="P197" s="5" t="inlineStr"/>
    </row>
    <row r="198">
      <c r="A198" s="5" t="inlineStr">
        <is>
          <t>L7-04</t>
        </is>
      </c>
      <c r="B198" s="5" t="inlineStr">
        <is>
          <t>L7</t>
        </is>
      </c>
      <c r="C198" s="5" t="inlineStr">
        <is>
          <t>E7.1</t>
        </is>
      </c>
      <c r="D198" s="5" t="inlineStr">
        <is>
          <t>Clôture &amp; archivage</t>
        </is>
      </c>
      <c r="E198" s="5" t="inlineStr">
        <is>
          <t>Test</t>
        </is>
      </c>
      <c r="F198" s="5" t="inlineStr">
        <is>
          <t>Tests d'immutabilité</t>
        </is>
      </c>
      <c r="G198" s="5" t="inlineStr">
        <is>
          <t>Testcontainers : triggers et garde de service, Administrateur inclus.</t>
        </is>
      </c>
      <c r="H198" s="5" t="inlineStr">
        <is>
          <t>- Toute écriture sur version PUBLIE ou ARCHIVE ou sur année CLOTUREE échoue
- Même résultat par la garde de service et par les triggers
- La modification d'une configuration utilisée (profil, style, vue, jeu de règles) échoue</t>
        </is>
      </c>
      <c r="I198" s="5" t="inlineStr">
        <is>
          <t>EX-PRI-03, EX-CAL-06</t>
        </is>
      </c>
      <c r="J198" s="5" t="inlineStr">
        <is>
          <t>§2.4, §5.2</t>
        </is>
      </c>
      <c r="K198" s="5" t="inlineStr">
        <is>
          <t>QA</t>
        </is>
      </c>
      <c r="L198" s="5" t="inlineStr">
        <is>
          <t>Must</t>
        </is>
      </c>
      <c r="M198" s="5" t="n">
        <v>5</v>
      </c>
      <c r="N198" s="5" t="inlineStr">
        <is>
          <t>L7-01, L3-10</t>
        </is>
      </c>
      <c r="O198" s="5" t="inlineStr">
        <is>
          <t>À faire</t>
        </is>
      </c>
      <c r="P198" s="5" t="inlineStr"/>
    </row>
    <row r="199">
      <c r="A199" s="5" t="inlineStr">
        <is>
          <t>L7-05</t>
        </is>
      </c>
      <c r="B199" s="5" t="inlineStr">
        <is>
          <t>L7</t>
        </is>
      </c>
      <c r="C199" s="5" t="inlineStr">
        <is>
          <t>E7.2</t>
        </is>
      </c>
      <c r="D199" s="5" t="inlineStr">
        <is>
          <t>Durcissement sécurité</t>
        </is>
      </c>
      <c r="E199" s="5" t="inlineStr">
        <is>
          <t>Tâche technique</t>
        </is>
      </c>
      <c r="F199" s="5" t="inlineStr">
        <is>
          <t>Durcissement applicatif</t>
        </is>
      </c>
      <c r="G199" s="5" t="inlineStr">
        <is>
          <t>CSP, Helmet, CORS en liste blanche, CSRF (en-tête et Origin), rate limiting /auth.</t>
        </is>
      </c>
      <c r="H199" s="5" t="inlineStr">
        <is>
          <t>- Les en-têtes de sécurité sont présents
- Une requête mutante sans en-tête personnalisé est rejetée
- SAST et DAST intégrés à la CI</t>
        </is>
      </c>
      <c r="I199" s="5" t="inlineStr">
        <is>
          <t>EX-SEC-08</t>
        </is>
      </c>
      <c r="J199" s="5" t="inlineStr">
        <is>
          <t>§5.1, §5.3</t>
        </is>
      </c>
      <c r="K199" s="5" t="inlineStr">
        <is>
          <t>BACK</t>
        </is>
      </c>
      <c r="L199" s="5" t="inlineStr">
        <is>
          <t>Must</t>
        </is>
      </c>
      <c r="M199" s="5" t="n">
        <v>8</v>
      </c>
      <c r="N199" s="5" t="inlineStr">
        <is>
          <t>L0-02, L0-27</t>
        </is>
      </c>
      <c r="O199" s="5" t="inlineStr">
        <is>
          <t>À faire</t>
        </is>
      </c>
      <c r="P199" s="5" t="inlineStr"/>
    </row>
    <row r="200">
      <c r="A200" s="5" t="inlineStr">
        <is>
          <t>L7-06</t>
        </is>
      </c>
      <c r="B200" s="5" t="inlineStr">
        <is>
          <t>L7</t>
        </is>
      </c>
      <c r="C200" s="5" t="inlineStr">
        <is>
          <t>E7.2</t>
        </is>
      </c>
      <c r="D200" s="5" t="inlineStr">
        <is>
          <t>Durcissement sécurité</t>
        </is>
      </c>
      <c r="E200" s="5" t="inlineStr">
        <is>
          <t>Test</t>
        </is>
      </c>
      <c r="F200" s="5" t="inlineStr">
        <is>
          <t>Revue RBAC et tests d'autorisation négatifs</t>
        </is>
      </c>
      <c r="G200" s="5" t="inlineStr">
        <is>
          <t>Relecture de la matrice et tests hors portée.</t>
        </is>
      </c>
      <c r="H200" s="5" t="inlineStr">
        <is>
          <t>- Aucun accès inter-départements possible
- La Direction n'a aucun accès d'écriture ni aux versions de travail
- Séparation des tâches vérifiée
- Rapport de revue sécurité sans critique ouverte</t>
        </is>
      </c>
      <c r="I200" s="5" t="inlineStr">
        <is>
          <t>EX-SEC-08, EX-ROL-05</t>
        </is>
      </c>
      <c r="J200" s="5" t="inlineStr">
        <is>
          <t>§5.2, §5.5</t>
        </is>
      </c>
      <c r="K200" s="5" t="inlineStr">
        <is>
          <t>QA</t>
        </is>
      </c>
      <c r="L200" s="5" t="inlineStr">
        <is>
          <t>Must</t>
        </is>
      </c>
      <c r="M200" s="5" t="n">
        <v>8</v>
      </c>
      <c r="N200" s="5" t="inlineStr">
        <is>
          <t>L0-20, L7-01</t>
        </is>
      </c>
      <c r="O200" s="5" t="inlineStr">
        <is>
          <t>À faire</t>
        </is>
      </c>
      <c r="P200" s="5" t="inlineStr"/>
    </row>
    <row r="201">
      <c r="A201" s="5" t="inlineStr">
        <is>
          <t>L7-07</t>
        </is>
      </c>
      <c r="B201" s="5" t="inlineStr">
        <is>
          <t>L7</t>
        </is>
      </c>
      <c r="C201" s="5" t="inlineStr">
        <is>
          <t>E7.2</t>
        </is>
      </c>
      <c r="D201" s="5" t="inlineStr">
        <is>
          <t>Durcissement sécurité</t>
        </is>
      </c>
      <c r="E201" s="5" t="inlineStr">
        <is>
          <t>Tâche technique</t>
        </is>
      </c>
      <c r="F201" s="5" t="inlineStr">
        <is>
          <t>Chaîne d'approvisionnement</t>
        </is>
      </c>
      <c r="G201" s="5" t="inlineStr">
        <is>
          <t>SBOM, scan d'images, secret scanning, empreinte du binaire FET.</t>
        </is>
      </c>
      <c r="H201" s="5" t="inlineStr">
        <is>
          <t>- SBOM généré à chaque build
- Image du worker bloquée si empreinte FET différente</t>
        </is>
      </c>
      <c r="I201" s="5" t="inlineStr">
        <is>
          <t>EX-NFR-02</t>
        </is>
      </c>
      <c r="J201" s="5" t="inlineStr">
        <is>
          <t>§5.3</t>
        </is>
      </c>
      <c r="K201" s="5" t="inlineStr">
        <is>
          <t>DEVOPS</t>
        </is>
      </c>
      <c r="L201" s="5" t="inlineStr">
        <is>
          <t>Should</t>
        </is>
      </c>
      <c r="M201" s="5" t="n">
        <v>3</v>
      </c>
      <c r="N201" s="5" t="inlineStr">
        <is>
          <t>L0-02, L4-08</t>
        </is>
      </c>
      <c r="O201" s="5" t="inlineStr">
        <is>
          <t>À faire</t>
        </is>
      </c>
      <c r="P201" s="5" t="inlineStr"/>
    </row>
    <row r="202">
      <c r="A202" s="5" t="inlineStr">
        <is>
          <t>L7-08</t>
        </is>
      </c>
      <c r="B202" s="5" t="inlineStr">
        <is>
          <t>L7</t>
        </is>
      </c>
      <c r="C202" s="5" t="inlineStr">
        <is>
          <t>E7.3</t>
        </is>
      </c>
      <c r="D202" s="5" t="inlineStr">
        <is>
          <t>Performance</t>
        </is>
      </c>
      <c r="E202" s="5" t="inlineStr">
        <is>
          <t>Test</t>
        </is>
      </c>
      <c r="F202" s="5" t="inlineStr">
        <is>
          <t>Tests de charge k6</t>
        </is>
      </c>
      <c r="G202" s="5" t="inlineStr">
        <is>
          <t>10 éditeurs simultanés sur 4 000 séances, génération parallèle refusée.</t>
        </is>
      </c>
      <c r="H202" s="5" t="inlineStr">
        <is>
          <t>- Objectifs p95 de ST §5.4 mesurés et documentés (dont tableau de bord et export de 100 pages)
- Une seconde génération sur le même semestre est refusée (409)</t>
        </is>
      </c>
      <c r="I202" s="5" t="inlineStr">
        <is>
          <t>EX-NFR-04</t>
        </is>
      </c>
      <c r="J202" s="5" t="inlineStr">
        <is>
          <t>§5.4</t>
        </is>
      </c>
      <c r="K202" s="5" t="inlineStr">
        <is>
          <t>QA</t>
        </is>
      </c>
      <c r="L202" s="5" t="inlineStr">
        <is>
          <t>Must</t>
        </is>
      </c>
      <c r="M202" s="5" t="n">
        <v>8</v>
      </c>
      <c r="N202" s="5" t="inlineStr">
        <is>
          <t>L3-28, L4-14, L5-26</t>
        </is>
      </c>
      <c r="O202" s="5" t="inlineStr">
        <is>
          <t>À faire</t>
        </is>
      </c>
      <c r="P202" s="5" t="inlineStr"/>
    </row>
    <row r="203">
      <c r="A203" s="5" t="inlineStr">
        <is>
          <t>L7-09</t>
        </is>
      </c>
      <c r="B203" s="5" t="inlineStr">
        <is>
          <t>L7</t>
        </is>
      </c>
      <c r="C203" s="5" t="inlineStr">
        <is>
          <t>E7.3</t>
        </is>
      </c>
      <c r="D203" s="5" t="inlineStr">
        <is>
          <t>Performance</t>
        </is>
      </c>
      <c r="E203" s="5" t="inlineStr">
        <is>
          <t>Tâche technique</t>
        </is>
      </c>
      <c r="F203" s="5" t="inlineStr">
        <is>
          <t>Optimisations selon mesures</t>
        </is>
      </c>
      <c r="G203" s="5" t="inlineStr">
        <is>
          <t>Corrections ciblées issues des tests de charge.</t>
        </is>
      </c>
      <c r="H203" s="5" t="inlineStr">
        <is>
          <t>- Tous les objectifs p95 sont atteints ou dérogation documentée</t>
        </is>
      </c>
      <c r="I203" s="5" t="inlineStr">
        <is>
          <t>EX-NFR-04</t>
        </is>
      </c>
      <c r="J203" s="5" t="inlineStr">
        <is>
          <t>§5.4</t>
        </is>
      </c>
      <c r="K203" s="5" t="inlineStr">
        <is>
          <t>FULL</t>
        </is>
      </c>
      <c r="L203" s="5" t="inlineStr">
        <is>
          <t>Should</t>
        </is>
      </c>
      <c r="M203" s="5" t="n">
        <v>8</v>
      </c>
      <c r="N203" s="5" t="inlineStr">
        <is>
          <t>L7-08</t>
        </is>
      </c>
      <c r="O203" s="5" t="inlineStr">
        <is>
          <t>À faire</t>
        </is>
      </c>
      <c r="P203" s="5" t="inlineStr"/>
    </row>
    <row r="204">
      <c r="A204" s="5" t="inlineStr">
        <is>
          <t>L7-10</t>
        </is>
      </c>
      <c r="B204" s="5" t="inlineStr">
        <is>
          <t>L7</t>
        </is>
      </c>
      <c r="C204" s="5" t="inlineStr">
        <is>
          <t>E7.4</t>
        </is>
      </c>
      <c r="D204" s="5" t="inlineStr">
        <is>
          <t>Exploitation &amp; conformité</t>
        </is>
      </c>
      <c r="E204" s="5" t="inlineStr">
        <is>
          <t>Tâche technique</t>
        </is>
      </c>
      <c r="F204" s="5" t="inlineStr">
        <is>
          <t>Sauvegardes et restauration</t>
        </is>
      </c>
      <c r="G204" s="5" t="inlineStr">
        <is>
          <t>Sauvegardes planifiées PostgreSQL (pg_dump format custom + SQL plain) : quotidienne 02h, hebdomadaire dimanche 03h, mensuelle 1er du mois 04h, rétention 30 jours ; volumes Docker (db, grafana, prometheus, loki, tempo) : archives tar.gz quotidiennes/hebdomadaires/mensuelles ; support S3/MinIO optionnel pour copie off-site ; manifestes JSON avec checksums SHA256 ; script de restauration restore.sh avec vérification d'intégrité.</t>
        </is>
      </c>
      <c r="H204" s="5" t="inlineStr">
        <is>
          <t>- Restauration testée avec RPO 24h (quotidien) et RTO 4 heures indicatifs
- Les sauvegardes sont sur un support séparé du serveur (volume backup_data + S3 optionnel)
- Procédure documentée (infra/backup/README.md) et test trimestriel planifié
- Protection contre la suppression accidentelle (rétention, checksums)
- Manifestes JSON horodatés pour audit et traçabilité</t>
        </is>
      </c>
      <c r="I204" s="5" t="inlineStr">
        <is>
          <t>EX-NFR-03</t>
        </is>
      </c>
      <c r="J204" s="5" t="inlineStr">
        <is>
          <t>§5.3, §1.8</t>
        </is>
      </c>
      <c r="K204" s="5" t="inlineStr">
        <is>
          <t>DEVOPS</t>
        </is>
      </c>
      <c r="L204" s="5" t="inlineStr">
        <is>
          <t>Must</t>
        </is>
      </c>
      <c r="M204" s="5" t="n">
        <v>5</v>
      </c>
      <c r="N204" s="5" t="inlineStr">
        <is>
          <t>L0-07</t>
        </is>
      </c>
      <c r="O204" s="5" t="inlineStr">
        <is>
          <t>À faire</t>
        </is>
      </c>
      <c r="P204" s="5" t="inlineStr"/>
    </row>
    <row r="205">
      <c r="A205" s="5" t="inlineStr">
        <is>
          <t>L7-11</t>
        </is>
      </c>
      <c r="B205" s="5" t="inlineStr">
        <is>
          <t>L7</t>
        </is>
      </c>
      <c r="C205" s="5" t="inlineStr">
        <is>
          <t>E7.4</t>
        </is>
      </c>
      <c r="D205" s="5" t="inlineStr">
        <is>
          <t>Exploitation &amp; conformité</t>
        </is>
      </c>
      <c r="E205" s="5" t="inlineStr">
        <is>
          <t>Tâche technique</t>
        </is>
      </c>
      <c r="F205" s="5" t="inlineStr">
        <is>
          <t>Alarmes et runbooks</t>
        </is>
      </c>
      <c r="G205" s="5" t="inlineStr">
        <is>
          <t>File d'échecs non vide, génération au-delà du seuil, 5xx, e-mails en échec.</t>
        </is>
      </c>
      <c r="H205" s="5" t="inlineStr">
        <is>
          <t>- Chaque alarme a un runbook
- Alerte déclenchée sur les scénarios simulés</t>
        </is>
      </c>
      <c r="I205" s="5" t="inlineStr">
        <is>
          <t>EX-NFR-05</t>
        </is>
      </c>
      <c r="J205" s="5" t="inlineStr">
        <is>
          <t>§5.4, §4.19</t>
        </is>
      </c>
      <c r="K205" s="5" t="inlineStr">
        <is>
          <t>DEVOPS</t>
        </is>
      </c>
      <c r="L205" s="5" t="inlineStr">
        <is>
          <t>Should</t>
        </is>
      </c>
      <c r="M205" s="5" t="n">
        <v>5</v>
      </c>
      <c r="N205" s="5" t="inlineStr">
        <is>
          <t>L0-09, L5-22</t>
        </is>
      </c>
      <c r="O205" s="5" t="inlineStr">
        <is>
          <t>À faire</t>
        </is>
      </c>
      <c r="P205" s="5" t="inlineStr"/>
    </row>
    <row r="206">
      <c r="A206" s="5" t="inlineStr">
        <is>
          <t>L7-12</t>
        </is>
      </c>
      <c r="B206" s="5" t="inlineStr">
        <is>
          <t>L7</t>
        </is>
      </c>
      <c r="C206" s="5" t="inlineStr">
        <is>
          <t>E7.4</t>
        </is>
      </c>
      <c r="D206" s="5" t="inlineStr">
        <is>
          <t>Exploitation &amp; conformité</t>
        </is>
      </c>
      <c r="E206" s="5" t="inlineStr">
        <is>
          <t>Tâche technique</t>
        </is>
      </c>
      <c r="F206" s="5" t="inlineStr">
        <is>
          <t>Conformité INPDP et conservation</t>
        </is>
      </c>
      <c r="G206" s="5" t="inlineStr">
        <is>
          <t>Durées de conservation audit, journal de sécurité et exports, droit d'accès et de rectification, validation DPO.</t>
        </is>
      </c>
      <c r="H206" s="5" t="inlineStr">
        <is>
          <t>- Politique de conservation validée par la maîtrise d'ouvrage
- Données hébergées en Tunisie ; cadre INPDP et durée de conservation validés avec le DPO</t>
        </is>
      </c>
      <c r="I206" s="5" t="inlineStr">
        <is>
          <t>EX-NFR-06, EX-AUD-02</t>
        </is>
      </c>
      <c r="J206" s="5" t="inlineStr">
        <is>
          <t>§5.3, §0.4</t>
        </is>
      </c>
      <c r="K206" s="5" t="inlineStr">
        <is>
          <t>FULL</t>
        </is>
      </c>
      <c r="L206" s="5" t="inlineStr">
        <is>
          <t>Must</t>
        </is>
      </c>
      <c r="M206" s="5" t="n">
        <v>5</v>
      </c>
      <c r="N206" s="5" t="inlineStr"/>
      <c r="O206" s="5" t="inlineStr">
        <is>
          <t>À faire</t>
        </is>
      </c>
      <c r="P206" s="5" t="inlineStr"/>
    </row>
    <row r="207">
      <c r="A207" s="5" t="inlineStr">
        <is>
          <t>L7-13</t>
        </is>
      </c>
      <c r="B207" s="5" t="inlineStr">
        <is>
          <t>L7</t>
        </is>
      </c>
      <c r="C207" s="5" t="inlineStr">
        <is>
          <t>E7.4</t>
        </is>
      </c>
      <c r="D207" s="5" t="inlineStr">
        <is>
          <t>Exploitation &amp; conformité</t>
        </is>
      </c>
      <c r="E207" s="5" t="inlineStr">
        <is>
          <t>Tâche technique</t>
        </is>
      </c>
      <c r="F207" s="5" t="inlineStr">
        <is>
          <t>Mentions de licence de FET (NOTICE)</t>
        </is>
      </c>
      <c r="G207" s="5" t="inlineStr">
        <is>
          <t>FET (AGPL v3) est utilisé tel quel, en développement interne pour le seul compte de l'ISAMK.</t>
        </is>
      </c>
      <c r="H207" s="5" t="inlineStr">
        <is>
          <t>- Mode d'intégration (binaire non modifié, processus séparé) confirmé par l'équipe, sans avis juridique
- Obligations éventuelles (mention, accès au source) listées et planifiées
- Fichier NOTICE (nom, version, licence, lien vers le source) dans le dépôt et l'image du worker
- COPYING et en-têtes de la version 7.11.1 archivés avec le source
- Règle consignée : ne pas modifier FET ni remettre l'application ou son image à une autre entité sans réexaminer la licence</t>
        </is>
      </c>
      <c r="I207" s="5" t="inlineStr">
        <is>
          <t>EX-MOT-08</t>
        </is>
      </c>
      <c r="J207" s="5" t="inlineStr">
        <is>
          <t>§4.6.4</t>
        </is>
      </c>
      <c r="K207" s="5" t="inlineStr">
        <is>
          <t>DEVOPS</t>
        </is>
      </c>
      <c r="L207" s="5" t="inlineStr">
        <is>
          <t>Must</t>
        </is>
      </c>
      <c r="M207" s="5" t="n">
        <v>1</v>
      </c>
      <c r="N207" s="5" t="inlineStr"/>
      <c r="O207" s="5" t="inlineStr">
        <is>
          <t>À faire</t>
        </is>
      </c>
      <c r="P207" s="5" t="inlineStr"/>
    </row>
    <row r="208">
      <c r="A208" s="5" t="inlineStr">
        <is>
          <t>L7-14</t>
        </is>
      </c>
      <c r="B208" s="5" t="inlineStr">
        <is>
          <t>L7</t>
        </is>
      </c>
      <c r="C208" s="5" t="inlineStr">
        <is>
          <t>E7.5</t>
        </is>
      </c>
      <c r="D208" s="5" t="inlineStr">
        <is>
          <t>Recette &amp; mise en production</t>
        </is>
      </c>
      <c r="E208" s="5" t="inlineStr">
        <is>
          <t>Tâche technique</t>
        </is>
      </c>
      <c r="F208" s="5" t="inlineStr">
        <is>
          <t>Stratégie de tests et jeux de données de recette</t>
        </is>
      </c>
      <c r="G208" s="5" t="inlineStr">
        <is>
          <t>Jeux de données représentatifs (POC FET, recette), scénarios Given/When/Then de la SF §23, matrice de traçabilité vérifiée en CI.</t>
        </is>
      </c>
      <c r="H208" s="5" t="inlineStr">
        <is>
          <t>- Les onze scénarios de la SF §23 sont automatisés ou documentés
- Jeu de données couvrant CM, TD, TP, CI, salle spécifique, capacités différentes, indisponibilités, préférences, pause, contrainte inter-départementale, activité verrouillée, génération réussie et impossible
- Le script de vérification de cohérence documentaire passe en CI</t>
        </is>
      </c>
      <c r="I208" s="5" t="inlineStr">
        <is>
          <t>EX-NFR-07</t>
        </is>
      </c>
      <c r="J208" s="5" t="inlineStr">
        <is>
          <t>§5.5, §6.1</t>
        </is>
      </c>
      <c r="K208" s="5" t="inlineStr">
        <is>
          <t>QA</t>
        </is>
      </c>
      <c r="L208" s="5" t="inlineStr">
        <is>
          <t>Must</t>
        </is>
      </c>
      <c r="M208" s="5" t="n">
        <v>5</v>
      </c>
      <c r="N208" s="5" t="inlineStr">
        <is>
          <t>L0-02, L4-09</t>
        </is>
      </c>
      <c r="O208" s="5" t="inlineStr">
        <is>
          <t>À faire</t>
        </is>
      </c>
      <c r="P208" s="5" t="inlineStr"/>
    </row>
    <row r="209">
      <c r="A209" s="5" t="inlineStr">
        <is>
          <t>L7-15</t>
        </is>
      </c>
      <c r="B209" s="5" t="inlineStr">
        <is>
          <t>L7</t>
        </is>
      </c>
      <c r="C209" s="5" t="inlineStr">
        <is>
          <t>E7.5</t>
        </is>
      </c>
      <c r="D209" s="5" t="inlineStr">
        <is>
          <t>Recette &amp; mise en production</t>
        </is>
      </c>
      <c r="E209" s="5" t="inlineStr">
        <is>
          <t>Test</t>
        </is>
      </c>
      <c r="F209" s="5" t="inlineStr">
        <is>
          <t>E2E complet répartition → export</t>
        </is>
      </c>
      <c r="G209" s="5" t="inlineStr">
        <is>
          <t>Playwright sur tout le parcours, par rôle.</t>
        </is>
      </c>
      <c r="H209" s="5" t="inlineStr">
        <is>
          <t>- Parcours complet vert en recette
- Rejouable en CI</t>
        </is>
      </c>
      <c r="I209" s="5" t="inlineStr">
        <is>
          <t>EX-NFR-07</t>
        </is>
      </c>
      <c r="J209" s="5" t="inlineStr">
        <is>
          <t>§5.5</t>
        </is>
      </c>
      <c r="K209" s="5" t="inlineStr">
        <is>
          <t>QA</t>
        </is>
      </c>
      <c r="L209" s="5" t="inlineStr">
        <is>
          <t>Must</t>
        </is>
      </c>
      <c r="M209" s="5" t="n">
        <v>8</v>
      </c>
      <c r="N209" s="5" t="inlineStr">
        <is>
          <t>L5-16, L6-07, L6-06</t>
        </is>
      </c>
      <c r="O209" s="5" t="inlineStr">
        <is>
          <t>À faire</t>
        </is>
      </c>
      <c r="P209" s="5" t="inlineStr"/>
    </row>
    <row r="210">
      <c r="A210" s="5" t="inlineStr">
        <is>
          <t>L7-16</t>
        </is>
      </c>
      <c r="B210" s="5" t="inlineStr">
        <is>
          <t>L7</t>
        </is>
      </c>
      <c r="C210" s="5" t="inlineStr">
        <is>
          <t>E7.5</t>
        </is>
      </c>
      <c r="D210" s="5" t="inlineStr">
        <is>
          <t>Recette &amp; mise en production</t>
        </is>
      </c>
      <c r="E210" s="5" t="inlineStr">
        <is>
          <t>Story</t>
        </is>
      </c>
      <c r="F210" s="5" t="inlineStr">
        <is>
          <t>Recette sur données réelles de l'ISAMK</t>
        </is>
      </c>
      <c r="G210" s="5" t="inlineStr">
        <is>
          <t>Chargement des données réelles (S4), recette, correctifs, documentation et formation.</t>
        </is>
      </c>
      <c r="H210" s="5" t="inlineStr">
        <is>
          <t>- Recette signée par la maîtrise d'ouvrage
- Documentation utilisateur et administrateur livrée
- Anomalies bloquantes corrigées
- Valeurs initiales du jeu de règles de charge saisies et validées</t>
        </is>
      </c>
      <c r="I210" s="5" t="inlineStr">
        <is>
          <t>EX-NFR-07</t>
        </is>
      </c>
      <c r="J210" s="5" t="inlineStr">
        <is>
          <t>§5.5, §6.4</t>
        </is>
      </c>
      <c r="K210" s="5" t="inlineStr">
        <is>
          <t>FULL</t>
        </is>
      </c>
      <c r="L210" s="5" t="inlineStr">
        <is>
          <t>Must</t>
        </is>
      </c>
      <c r="M210" s="5" t="n">
        <v>13</v>
      </c>
      <c r="N210" s="5" t="inlineStr">
        <is>
          <t>L7-15, L7-06, L7-09</t>
        </is>
      </c>
      <c r="O210" s="5" t="inlineStr">
        <is>
          <t>À faire</t>
        </is>
      </c>
      <c r="P210" s="5" t="inlineStr"/>
    </row>
    <row r="211">
      <c r="A211" s="5" t="inlineStr">
        <is>
          <t>L7-17</t>
        </is>
      </c>
      <c r="B211" s="5" t="inlineStr">
        <is>
          <t>L7</t>
        </is>
      </c>
      <c r="C211" s="5" t="inlineStr">
        <is>
          <t>E7.5</t>
        </is>
      </c>
      <c r="D211" s="5" t="inlineStr">
        <is>
          <t>Recette &amp; mise en production</t>
        </is>
      </c>
      <c r="E211" s="5" t="inlineStr">
        <is>
          <t>Tâche technique</t>
        </is>
      </c>
      <c r="F211" s="5" t="inlineStr">
        <is>
          <t>Mise en production et hypercare</t>
        </is>
      </c>
      <c r="G211" s="5" t="inlineStr">
        <is>
          <t>Bascule, surveillance renforcée.</t>
        </is>
      </c>
      <c r="H211" s="5" t="inlineStr">
        <is>
          <t>- Production déployée via pipeline
- Période d'hypercare avec points quotidiens
- Plan de retour arrière documenté</t>
        </is>
      </c>
      <c r="I211" s="5" t="inlineStr">
        <is>
          <t>EX-NFR-02</t>
        </is>
      </c>
      <c r="J211" s="5" t="inlineStr">
        <is>
          <t>§5.5, §1.8</t>
        </is>
      </c>
      <c r="K211" s="5" t="inlineStr">
        <is>
          <t>DEVOPS</t>
        </is>
      </c>
      <c r="L211" s="5" t="inlineStr">
        <is>
          <t>Must</t>
        </is>
      </c>
      <c r="M211" s="5" t="n">
        <v>5</v>
      </c>
      <c r="N211" s="5" t="inlineStr">
        <is>
          <t>L7-16, L7-10, L7-11</t>
        </is>
      </c>
      <c r="O211" s="5" t="inlineStr">
        <is>
          <t>À faire</t>
        </is>
      </c>
      <c r="P211" s="5" t="inlineStr"/>
    </row>
  </sheetData>
  <autoFilter ref="A1:P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0" customWidth="1" min="3" max="3"/>
    <col width="10" customWidth="1" min="4" max="4"/>
    <col width="16" customWidth="1" min="5" max="5"/>
  </cols>
  <sheetData>
    <row r="1">
      <c r="A1" s="6" t="inlineStr">
        <is>
          <t>Lot</t>
        </is>
      </c>
      <c r="B1" s="6" t="inlineStr">
        <is>
          <t>Périmètre</t>
        </is>
      </c>
      <c r="C1" s="6" t="inlineStr">
        <is>
          <t>Tickets</t>
        </is>
      </c>
      <c r="D1" s="6" t="inlineStr">
        <is>
          <t>Points</t>
        </is>
      </c>
      <c r="E1" s="6" t="inlineStr">
        <is>
          <t>Points terminés</t>
        </is>
      </c>
    </row>
    <row r="2">
      <c r="A2" s="5" t="inlineStr">
        <is>
          <t>L0</t>
        </is>
      </c>
      <c r="B2" s="5" t="inlineStr">
        <is>
          <t>Socle : monorepo, CI/CD, infrastructure sur site, authentification, sécurité, RBAC, audit, socle API et web</t>
        </is>
      </c>
      <c r="C2" s="5">
        <f>COUNTIF(Tickets!$B$2:$B$211,A2)</f>
        <v/>
      </c>
      <c r="D2" s="5">
        <f>SUMIF(Tickets!$B$2:$B$211,A2,Tickets!$M$2:$M$211)</f>
        <v/>
      </c>
      <c r="E2" s="5">
        <f>SUMIFS(Tickets!$M$2:$M$211,Tickets!$B$2:$B$211,A2,Tickets!$O$2:$O$211,"Terminé")</f>
        <v/>
      </c>
    </row>
    <row r="3">
      <c r="A3" s="5" t="inlineStr">
        <is>
          <t>L1</t>
        </is>
      </c>
      <c r="B3" s="5" t="inlineStr">
        <is>
          <t>Années, semestres, référentiel, ressources, grille horaire, Ramadan, imports</t>
        </is>
      </c>
      <c r="C3" s="5">
        <f>COUNTIF(Tickets!$B$2:$B$211,A3)</f>
        <v/>
      </c>
      <c r="D3" s="5">
        <f>SUMIF(Tickets!$B$2:$B$211,A3,Tickets!$M$2:$M$211)</f>
        <v/>
      </c>
      <c r="E3" s="5">
        <f>SUMIFS(Tickets!$M$2:$M$211,Tickets!$B$2:$B$211,A3,Tickets!$O$2:$O$211,"Terminé")</f>
        <v/>
      </c>
    </row>
    <row r="4">
      <c r="A4" s="5" t="inlineStr">
        <is>
          <t>L2</t>
        </is>
      </c>
      <c r="B4" s="5" t="inlineStr">
        <is>
          <t>Répartition pédagogique, charge paramétrable, snapshots, vue annuelle</t>
        </is>
      </c>
      <c r="C4" s="5">
        <f>COUNTIF(Tickets!$B$2:$B$211,A4)</f>
        <v/>
      </c>
      <c r="D4" s="5">
        <f>SUMIF(Tickets!$B$2:$B$211,A4,Tickets!$M$2:$M$211)</f>
        <v/>
      </c>
      <c r="E4" s="5">
        <f>SUMIFS(Tickets!$M$2:$M$211,Tickets!$B$2:$B$211,A4,Tickets!$O$2:$O$211,"Terminé")</f>
        <v/>
      </c>
    </row>
    <row r="5">
      <c r="A5" s="5" t="inlineStr">
        <is>
          <t>L3</t>
        </is>
      </c>
      <c r="B5" s="5" t="inlineStr">
        <is>
          <t>Contraintes, versions, séances, conflict-engine, éditeur manuel, verrous, avertissements</t>
        </is>
      </c>
      <c r="C5" s="5">
        <f>COUNTIF(Tickets!$B$2:$B$211,A5)</f>
        <v/>
      </c>
      <c r="D5" s="5">
        <f>SUMIF(Tickets!$B$2:$B$211,A5,Tickets!$M$2:$M$211)</f>
        <v/>
      </c>
      <c r="E5" s="5">
        <f>SUMIFS(Tickets!$M$2:$M$211,Tickets!$B$2:$B$211,A5,Tickets!$O$2:$O$211,"Terminé")</f>
        <v/>
      </c>
    </row>
    <row r="6">
      <c r="A6" s="5" t="inlineStr">
        <is>
          <t>L4</t>
        </is>
      </c>
      <c r="B6" s="5" t="inlineStr">
        <is>
          <t>Génération FET : port, profils, worker, périmètre, préparation, comparaison, score, adoption</t>
        </is>
      </c>
      <c r="C6" s="5">
        <f>COUNTIF(Tickets!$B$2:$B$211,A6)</f>
        <v/>
      </c>
      <c r="D6" s="5">
        <f>SUMIF(Tickets!$B$2:$B$211,A6,Tickets!$M$2:$M$211)</f>
        <v/>
      </c>
      <c r="E6" s="5">
        <f>SUMIFS(Tickets!$M$2:$M$211,Tickets!$B$2:$B$211,A6,Tickets!$O$2:$O$211,"Terminé")</f>
        <v/>
      </c>
    </row>
    <row r="7">
      <c r="A7" s="5" t="inlineStr">
        <is>
          <t>L5</t>
        </is>
      </c>
      <c r="B7" s="5" t="inlineStr">
        <is>
          <t>Workflow, impact, notifications, circuit configurable, tableau de bord</t>
        </is>
      </c>
      <c r="C7" s="5">
        <f>COUNTIF(Tickets!$B$2:$B$211,A7)</f>
        <v/>
      </c>
      <c r="D7" s="5">
        <f>SUMIF(Tickets!$B$2:$B$211,A7,Tickets!$M$2:$M$211)</f>
        <v/>
      </c>
      <c r="E7" s="5">
        <f>SUMIFS(Tickets!$M$2:$M$211,Tickets!$B$2:$B$211,A7,Tickets!$O$2:$O$211,"Terminé")</f>
        <v/>
      </c>
    </row>
    <row r="8">
      <c r="A8" s="5" t="inlineStr">
        <is>
          <t>L6</t>
        </is>
      </c>
      <c r="B8" s="5" t="inlineStr">
        <is>
          <t>Exports PDF et Excel</t>
        </is>
      </c>
      <c r="C8" s="5">
        <f>COUNTIF(Tickets!$B$2:$B$211,A8)</f>
        <v/>
      </c>
      <c r="D8" s="5">
        <f>SUMIF(Tickets!$B$2:$B$211,A8,Tickets!$M$2:$M$211)</f>
        <v/>
      </c>
      <c r="E8" s="5">
        <f>SUMIFS(Tickets!$M$2:$M$211,Tickets!$B$2:$B$211,A8,Tickets!$O$2:$O$211,"Terminé")</f>
        <v/>
      </c>
    </row>
    <row r="9">
      <c r="A9" s="5" t="inlineStr">
        <is>
          <t>L7</t>
        </is>
      </c>
      <c r="B9" s="5" t="inlineStr">
        <is>
          <t>Clôture, durcissement, performance, exploitation, recette, mise en production</t>
        </is>
      </c>
      <c r="C9" s="5">
        <f>COUNTIF(Tickets!$B$2:$B$211,A9)</f>
        <v/>
      </c>
      <c r="D9" s="5">
        <f>SUMIF(Tickets!$B$2:$B$211,A9,Tickets!$M$2:$M$211)</f>
        <v/>
      </c>
      <c r="E9" s="5">
        <f>SUMIFS(Tickets!$M$2:$M$211,Tickets!$B$2:$B$211,A9,Tickets!$O$2:$O$211,"Terminé")</f>
        <v/>
      </c>
    </row>
    <row r="10">
      <c r="A10" s="3" t="inlineStr">
        <is>
          <t>Total</t>
        </is>
      </c>
      <c r="C10" s="3">
        <f>SUM(C2:C9)</f>
        <v/>
      </c>
      <c r="D10" s="3">
        <f>SUM(D2:D9)</f>
        <v/>
      </c>
      <c r="E10" s="3">
        <f>SUM(E2:E9)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46" customWidth="1" min="3" max="3"/>
    <col width="10" customWidth="1" min="4" max="4"/>
    <col width="10" customWidth="1" min="5" max="5"/>
  </cols>
  <sheetData>
    <row r="1">
      <c r="A1" s="6" t="inlineStr">
        <is>
          <t>Epic ID</t>
        </is>
      </c>
      <c r="B1" s="6" t="inlineStr">
        <is>
          <t>Lot</t>
        </is>
      </c>
      <c r="C1" s="6" t="inlineStr">
        <is>
          <t>Epic</t>
        </is>
      </c>
      <c r="D1" s="6" t="inlineStr">
        <is>
          <t>Tickets</t>
        </is>
      </c>
      <c r="E1" s="6" t="inlineStr">
        <is>
          <t>Points</t>
        </is>
      </c>
    </row>
    <row r="2">
      <c r="A2" s="7" t="inlineStr">
        <is>
          <t>E0.1</t>
        </is>
      </c>
      <c r="B2" s="7" t="inlineStr">
        <is>
          <t>L0</t>
        </is>
      </c>
      <c r="C2" s="7" t="inlineStr">
        <is>
          <t>Monorepo &amp; CI/CD</t>
        </is>
      </c>
      <c r="D2" s="7">
        <f>COUNTIF(Tickets!$C$2:$C$211,A2)</f>
        <v/>
      </c>
      <c r="E2" s="7">
        <f>SUMIF(Tickets!$C$2:$C$211,A2,Tickets!$M$2:$M$211)</f>
        <v/>
      </c>
    </row>
    <row r="3">
      <c r="A3" s="7" t="inlineStr">
        <is>
          <t>E0.2</t>
        </is>
      </c>
      <c r="B3" s="7" t="inlineStr">
        <is>
          <t>L0</t>
        </is>
      </c>
      <c r="C3" s="7" t="inlineStr">
        <is>
          <t>Infrastructure sur site</t>
        </is>
      </c>
      <c r="D3" s="7">
        <f>COUNTIF(Tickets!$C$2:$C$211,A3)</f>
        <v/>
      </c>
      <c r="E3" s="7">
        <f>SUMIF(Tickets!$C$2:$C$211,A3,Tickets!$M$2:$M$211)</f>
        <v/>
      </c>
    </row>
    <row r="4">
      <c r="A4" s="7" t="inlineStr">
        <is>
          <t>E0.3</t>
        </is>
      </c>
      <c r="B4" s="7" t="inlineStr">
        <is>
          <t>L0</t>
        </is>
      </c>
      <c r="C4" s="7" t="inlineStr">
        <is>
          <t>Authentification &amp; comptes</t>
        </is>
      </c>
      <c r="D4" s="7">
        <f>COUNTIF(Tickets!$C$2:$C$211,A4)</f>
        <v/>
      </c>
      <c r="E4" s="7">
        <f>SUMIF(Tickets!$C$2:$C$211,A4,Tickets!$M$2:$M$211)</f>
        <v/>
      </c>
    </row>
    <row r="5">
      <c r="A5" s="7" t="inlineStr">
        <is>
          <t>E0.4</t>
        </is>
      </c>
      <c r="B5" s="7" t="inlineStr">
        <is>
          <t>L0</t>
        </is>
      </c>
      <c r="C5" s="7" t="inlineStr">
        <is>
          <t>RBAC avec portée</t>
        </is>
      </c>
      <c r="D5" s="7">
        <f>COUNTIF(Tickets!$C$2:$C$211,A5)</f>
        <v/>
      </c>
      <c r="E5" s="7">
        <f>SUMIF(Tickets!$C$2:$C$211,A5,Tickets!$M$2:$M$211)</f>
        <v/>
      </c>
    </row>
    <row r="6">
      <c r="A6" s="7" t="inlineStr">
        <is>
          <t>E0.5</t>
        </is>
      </c>
      <c r="B6" s="7" t="inlineStr">
        <is>
          <t>L0</t>
        </is>
      </c>
      <c r="C6" s="7" t="inlineStr">
        <is>
          <t>Audit append-only</t>
        </is>
      </c>
      <c r="D6" s="7">
        <f>COUNTIF(Tickets!$C$2:$C$211,A6)</f>
        <v/>
      </c>
      <c r="E6" s="7">
        <f>SUMIF(Tickets!$C$2:$C$211,A6,Tickets!$M$2:$M$211)</f>
        <v/>
      </c>
    </row>
    <row r="7">
      <c r="A7" s="7" t="inlineStr">
        <is>
          <t>E0.6</t>
        </is>
      </c>
      <c r="B7" s="7" t="inlineStr">
        <is>
          <t>L0</t>
        </is>
      </c>
      <c r="C7" s="7" t="inlineStr">
        <is>
          <t>Socle API</t>
        </is>
      </c>
      <c r="D7" s="7">
        <f>COUNTIF(Tickets!$C$2:$C$211,A7)</f>
        <v/>
      </c>
      <c r="E7" s="7">
        <f>SUMIF(Tickets!$C$2:$C$211,A7,Tickets!$M$2:$M$211)</f>
        <v/>
      </c>
    </row>
    <row r="8">
      <c r="A8" s="7" t="inlineStr">
        <is>
          <t>E0.7</t>
        </is>
      </c>
      <c r="B8" s="7" t="inlineStr">
        <is>
          <t>L0</t>
        </is>
      </c>
      <c r="C8" s="7" t="inlineStr">
        <is>
          <t>Socle web</t>
        </is>
      </c>
      <c r="D8" s="7">
        <f>COUNTIF(Tickets!$C$2:$C$211,A8)</f>
        <v/>
      </c>
      <c r="E8" s="7">
        <f>SUMIF(Tickets!$C$2:$C$211,A8,Tickets!$M$2:$M$211)</f>
        <v/>
      </c>
    </row>
    <row r="9">
      <c r="A9" s="7" t="inlineStr">
        <is>
          <t>E1.1</t>
        </is>
      </c>
      <c r="B9" s="7" t="inlineStr">
        <is>
          <t>L1</t>
        </is>
      </c>
      <c r="C9" s="7" t="inlineStr">
        <is>
          <t>Années &amp; semestres</t>
        </is>
      </c>
      <c r="D9" s="7">
        <f>COUNTIF(Tickets!$C$2:$C$211,A9)</f>
        <v/>
      </c>
      <c r="E9" s="7">
        <f>SUMIF(Tickets!$C$2:$C$211,A9,Tickets!$M$2:$M$211)</f>
        <v/>
      </c>
    </row>
    <row r="10">
      <c r="A10" s="7" t="inlineStr">
        <is>
          <t>E1.2</t>
        </is>
      </c>
      <c r="B10" s="7" t="inlineStr">
        <is>
          <t>L1</t>
        </is>
      </c>
      <c r="C10" s="7" t="inlineStr">
        <is>
          <t>Structure académique</t>
        </is>
      </c>
      <c r="D10" s="7">
        <f>COUNTIF(Tickets!$C$2:$C$211,A10)</f>
        <v/>
      </c>
      <c r="E10" s="7">
        <f>SUMIF(Tickets!$C$2:$C$211,A10,Tickets!$M$2:$M$211)</f>
        <v/>
      </c>
    </row>
    <row r="11">
      <c r="A11" s="7" t="inlineStr">
        <is>
          <t>E1.3</t>
        </is>
      </c>
      <c r="B11" s="7" t="inlineStr">
        <is>
          <t>L1</t>
        </is>
      </c>
      <c r="C11" s="7" t="inlineStr">
        <is>
          <t>Enseignants, grades &amp; décharges</t>
        </is>
      </c>
      <c r="D11" s="7">
        <f>COUNTIF(Tickets!$C$2:$C$211,A11)</f>
        <v/>
      </c>
      <c r="E11" s="7">
        <f>SUMIF(Tickets!$C$2:$C$211,A11,Tickets!$M$2:$M$211)</f>
        <v/>
      </c>
    </row>
    <row r="12">
      <c r="A12" s="7" t="inlineStr">
        <is>
          <t>E1.4</t>
        </is>
      </c>
      <c r="B12" s="7" t="inlineStr">
        <is>
          <t>L1</t>
        </is>
      </c>
      <c r="C12" s="7" t="inlineStr">
        <is>
          <t>Salles &amp; équipements</t>
        </is>
      </c>
      <c r="D12" s="7">
        <f>COUNTIF(Tickets!$C$2:$C$211,A12)</f>
        <v/>
      </c>
      <c r="E12" s="7">
        <f>SUMIF(Tickets!$C$2:$C$211,A12,Tickets!$M$2:$M$211)</f>
        <v/>
      </c>
    </row>
    <row r="13">
      <c r="A13" s="7" t="inlineStr">
        <is>
          <t>E1.5</t>
        </is>
      </c>
      <c r="B13" s="7" t="inlineStr">
        <is>
          <t>L1</t>
        </is>
      </c>
      <c r="C13" s="7" t="inlineStr">
        <is>
          <t>Grille horaire &amp; indisponibilités</t>
        </is>
      </c>
      <c r="D13" s="7">
        <f>COUNTIF(Tickets!$C$2:$C$211,A13)</f>
        <v/>
      </c>
      <c r="E13" s="7">
        <f>SUMIF(Tickets!$C$2:$C$211,A13,Tickets!$M$2:$M$211)</f>
        <v/>
      </c>
    </row>
    <row r="14">
      <c r="A14" s="7" t="inlineStr">
        <is>
          <t>E1.6</t>
        </is>
      </c>
      <c r="B14" s="7" t="inlineStr">
        <is>
          <t>L1</t>
        </is>
      </c>
      <c r="C14" s="7" t="inlineStr">
        <is>
          <t>Grille Ramadan</t>
        </is>
      </c>
      <c r="D14" s="7">
        <f>COUNTIF(Tickets!$C$2:$C$211,A14)</f>
        <v/>
      </c>
      <c r="E14" s="7">
        <f>SUMIF(Tickets!$C$2:$C$211,A14,Tickets!$M$2:$M$211)</f>
        <v/>
      </c>
    </row>
    <row r="15">
      <c r="A15" s="7" t="inlineStr">
        <is>
          <t>E1.7</t>
        </is>
      </c>
      <c r="B15" s="7" t="inlineStr">
        <is>
          <t>L1</t>
        </is>
      </c>
      <c r="C15" s="7" t="inlineStr">
        <is>
          <t>Import depuis une année clôturée</t>
        </is>
      </c>
      <c r="D15" s="7">
        <f>COUNTIF(Tickets!$C$2:$C$211,A15)</f>
        <v/>
      </c>
      <c r="E15" s="7">
        <f>SUMIF(Tickets!$C$2:$C$211,A15,Tickets!$M$2:$M$211)</f>
        <v/>
      </c>
    </row>
    <row r="16">
      <c r="A16" s="7" t="inlineStr">
        <is>
          <t>E1.8</t>
        </is>
      </c>
      <c r="B16" s="7" t="inlineStr">
        <is>
          <t>L1</t>
        </is>
      </c>
      <c r="C16" s="7" t="inlineStr">
        <is>
          <t>Imports CSV/XLSX</t>
        </is>
      </c>
      <c r="D16" s="7">
        <f>COUNTIF(Tickets!$C$2:$C$211,A16)</f>
        <v/>
      </c>
      <c r="E16" s="7">
        <f>SUMIF(Tickets!$C$2:$C$211,A16,Tickets!$M$2:$M$211)</f>
        <v/>
      </c>
    </row>
    <row r="17">
      <c r="A17" s="7" t="inlineStr">
        <is>
          <t>E2.1</t>
        </is>
      </c>
      <c r="B17" s="7" t="inlineStr">
        <is>
          <t>L2</t>
        </is>
      </c>
      <c r="C17" s="7" t="inlineStr">
        <is>
          <t>Volumes prévus (maquette)</t>
        </is>
      </c>
      <c r="D17" s="7">
        <f>COUNTIF(Tickets!$C$2:$C$211,A17)</f>
        <v/>
      </c>
      <c r="E17" s="7">
        <f>SUMIF(Tickets!$C$2:$C$211,A17,Tickets!$M$2:$M$211)</f>
        <v/>
      </c>
    </row>
    <row r="18">
      <c r="A18" s="7" t="inlineStr">
        <is>
          <t>E2.2</t>
        </is>
      </c>
      <c r="B18" s="7" t="inlineStr">
        <is>
          <t>L2</t>
        </is>
      </c>
      <c r="C18" s="7" t="inlineStr">
        <is>
          <t>Charge paramétrable</t>
        </is>
      </c>
      <c r="D18" s="7">
        <f>COUNTIF(Tickets!$C$2:$C$211,A18)</f>
        <v/>
      </c>
      <c r="E18" s="7">
        <f>SUMIF(Tickets!$C$2:$C$211,A18,Tickets!$M$2:$M$211)</f>
        <v/>
      </c>
    </row>
    <row r="19">
      <c r="A19" s="7" t="inlineStr">
        <is>
          <t>E2.3</t>
        </is>
      </c>
      <c r="B19" s="7" t="inlineStr">
        <is>
          <t>L2</t>
        </is>
      </c>
      <c r="C19" s="7" t="inlineStr">
        <is>
          <t>Saisie de la répartition</t>
        </is>
      </c>
      <c r="D19" s="7">
        <f>COUNTIF(Tickets!$C$2:$C$211,A19)</f>
        <v/>
      </c>
      <c r="E19" s="7">
        <f>SUMIF(Tickets!$C$2:$C$211,A19,Tickets!$M$2:$M$211)</f>
        <v/>
      </c>
    </row>
    <row r="20">
      <c r="A20" s="7" t="inlineStr">
        <is>
          <t>E2.4</t>
        </is>
      </c>
      <c r="B20" s="7" t="inlineStr">
        <is>
          <t>L2</t>
        </is>
      </c>
      <c r="C20" s="7" t="inlineStr">
        <is>
          <t>Charges</t>
        </is>
      </c>
      <c r="D20" s="7">
        <f>COUNTIF(Tickets!$C$2:$C$211,A20)</f>
        <v/>
      </c>
      <c r="E20" s="7">
        <f>SUMIF(Tickets!$C$2:$C$211,A20,Tickets!$M$2:$M$211)</f>
        <v/>
      </c>
    </row>
    <row r="21">
      <c r="A21" s="7" t="inlineStr">
        <is>
          <t>E2.5</t>
        </is>
      </c>
      <c r="B21" s="7" t="inlineStr">
        <is>
          <t>L2</t>
        </is>
      </c>
      <c r="C21" s="7" t="inlineStr">
        <is>
          <t>Validation &amp; snapshots</t>
        </is>
      </c>
      <c r="D21" s="7">
        <f>COUNTIF(Tickets!$C$2:$C$211,A21)</f>
        <v/>
      </c>
      <c r="E21" s="7">
        <f>SUMIF(Tickets!$C$2:$C$211,A21,Tickets!$M$2:$M$211)</f>
        <v/>
      </c>
    </row>
    <row r="22">
      <c r="A22" s="7" t="inlineStr">
        <is>
          <t>E2.6</t>
        </is>
      </c>
      <c r="B22" s="7" t="inlineStr">
        <is>
          <t>L2</t>
        </is>
      </c>
      <c r="C22" s="7" t="inlineStr">
        <is>
          <t>Demandes de modification</t>
        </is>
      </c>
      <c r="D22" s="7">
        <f>COUNTIF(Tickets!$C$2:$C$211,A22)</f>
        <v/>
      </c>
      <c r="E22" s="7">
        <f>SUMIF(Tickets!$C$2:$C$211,A22,Tickets!$M$2:$M$211)</f>
        <v/>
      </c>
    </row>
    <row r="23">
      <c r="A23" s="7" t="inlineStr">
        <is>
          <t>E2.7</t>
        </is>
      </c>
      <c r="B23" s="7" t="inlineStr">
        <is>
          <t>L2</t>
        </is>
      </c>
      <c r="C23" s="7" t="inlineStr">
        <is>
          <t>Vue annuelle des charges</t>
        </is>
      </c>
      <c r="D23" s="7">
        <f>COUNTIF(Tickets!$C$2:$C$211,A23)</f>
        <v/>
      </c>
      <c r="E23" s="7">
        <f>SUMIF(Tickets!$C$2:$C$211,A23,Tickets!$M$2:$M$211)</f>
        <v/>
      </c>
    </row>
    <row r="24">
      <c r="A24" s="7" t="inlineStr">
        <is>
          <t>E3.1</t>
        </is>
      </c>
      <c r="B24" s="7" t="inlineStr">
        <is>
          <t>L3</t>
        </is>
      </c>
      <c r="C24" s="7" t="inlineStr">
        <is>
          <t>Contraintes</t>
        </is>
      </c>
      <c r="D24" s="7">
        <f>COUNTIF(Tickets!$C$2:$C$211,A24)</f>
        <v/>
      </c>
      <c r="E24" s="7">
        <f>SUMIF(Tickets!$C$2:$C$211,A24,Tickets!$M$2:$M$211)</f>
        <v/>
      </c>
    </row>
    <row r="25">
      <c r="A25" s="7" t="inlineStr">
        <is>
          <t>E3.2</t>
        </is>
      </c>
      <c r="B25" s="7" t="inlineStr">
        <is>
          <t>L3</t>
        </is>
      </c>
      <c r="C25" s="7" t="inlineStr">
        <is>
          <t>Versions &amp; séances</t>
        </is>
      </c>
      <c r="D25" s="7">
        <f>COUNTIF(Tickets!$C$2:$C$211,A25)</f>
        <v/>
      </c>
      <c r="E25" s="7">
        <f>SUMIF(Tickets!$C$2:$C$211,A25,Tickets!$M$2:$M$211)</f>
        <v/>
      </c>
    </row>
    <row r="26">
      <c r="A26" s="7" t="inlineStr">
        <is>
          <t>E3.3</t>
        </is>
      </c>
      <c r="B26" s="7" t="inlineStr">
        <is>
          <t>L3</t>
        </is>
      </c>
      <c r="C26" s="7" t="inlineStr">
        <is>
          <t>Conflict-engine</t>
        </is>
      </c>
      <c r="D26" s="7">
        <f>COUNTIF(Tickets!$C$2:$C$211,A26)</f>
        <v/>
      </c>
      <c r="E26" s="7">
        <f>SUMIF(Tickets!$C$2:$C$211,A26,Tickets!$M$2:$M$211)</f>
        <v/>
      </c>
    </row>
    <row r="27">
      <c r="A27" s="7" t="inlineStr">
        <is>
          <t>E3.4</t>
        </is>
      </c>
      <c r="B27" s="7" t="inlineStr">
        <is>
          <t>L3</t>
        </is>
      </c>
      <c r="C27" s="7" t="inlineStr">
        <is>
          <t>Bail d'édition &amp; concurrence</t>
        </is>
      </c>
      <c r="D27" s="7">
        <f>COUNTIF(Tickets!$C$2:$C$211,A27)</f>
        <v/>
      </c>
      <c r="E27" s="7">
        <f>SUMIF(Tickets!$C$2:$C$211,A27,Tickets!$M$2:$M$211)</f>
        <v/>
      </c>
    </row>
    <row r="28">
      <c r="A28" s="7" t="inlineStr">
        <is>
          <t>E3.5</t>
        </is>
      </c>
      <c r="B28" s="7" t="inlineStr">
        <is>
          <t>L3</t>
        </is>
      </c>
      <c r="C28" s="7" t="inlineStr">
        <is>
          <t>Éditeur manuel</t>
        </is>
      </c>
      <c r="D28" s="7">
        <f>COUNTIF(Tickets!$C$2:$C$211,A28)</f>
        <v/>
      </c>
      <c r="E28" s="7">
        <f>SUMIF(Tickets!$C$2:$C$211,A28,Tickets!$M$2:$M$211)</f>
        <v/>
      </c>
    </row>
    <row r="29">
      <c r="A29" s="7" t="inlineStr">
        <is>
          <t>E3.6</t>
        </is>
      </c>
      <c r="B29" s="7" t="inlineStr">
        <is>
          <t>L3</t>
        </is>
      </c>
      <c r="C29" s="7" t="inlineStr">
        <is>
          <t>Guidage de résolution</t>
        </is>
      </c>
      <c r="D29" s="7">
        <f>COUNTIF(Tickets!$C$2:$C$211,A29)</f>
        <v/>
      </c>
      <c r="E29" s="7">
        <f>SUMIF(Tickets!$C$2:$C$211,A29,Tickets!$M$2:$M$211)</f>
        <v/>
      </c>
    </row>
    <row r="30">
      <c r="A30" s="7" t="inlineStr">
        <is>
          <t>E3.7</t>
        </is>
      </c>
      <c r="B30" s="7" t="inlineStr">
        <is>
          <t>L3</t>
        </is>
      </c>
      <c r="C30" s="7" t="inlineStr">
        <is>
          <t>Grille d'édition (UI)</t>
        </is>
      </c>
      <c r="D30" s="7">
        <f>COUNTIF(Tickets!$C$2:$C$211,A30)</f>
        <v/>
      </c>
      <c r="E30" s="7">
        <f>SUMIF(Tickets!$C$2:$C$211,A30,Tickets!$M$2:$M$211)</f>
        <v/>
      </c>
    </row>
    <row r="31">
      <c r="A31" s="7" t="inlineStr">
        <is>
          <t>E3.8</t>
        </is>
      </c>
      <c r="B31" s="7" t="inlineStr">
        <is>
          <t>L3</t>
        </is>
      </c>
      <c r="C31" s="7" t="inlineStr">
        <is>
          <t>Complétude &amp; impacts référentiel</t>
        </is>
      </c>
      <c r="D31" s="7">
        <f>COUNTIF(Tickets!$C$2:$C$211,A31)</f>
        <v/>
      </c>
      <c r="E31" s="7">
        <f>SUMIF(Tickets!$C$2:$C$211,A31,Tickets!$M$2:$M$211)</f>
        <v/>
      </c>
    </row>
    <row r="32">
      <c r="A32" s="7" t="inlineStr">
        <is>
          <t>E3.9</t>
        </is>
      </c>
      <c r="B32" s="7" t="inlineStr">
        <is>
          <t>L3</t>
        </is>
      </c>
      <c r="C32" s="7" t="inlineStr">
        <is>
          <t>Vœux des enseignants</t>
        </is>
      </c>
      <c r="D32" s="7">
        <f>COUNTIF(Tickets!$C$2:$C$211,A32)</f>
        <v/>
      </c>
      <c r="E32" s="7">
        <f>SUMIF(Tickets!$C$2:$C$211,A32,Tickets!$M$2:$M$211)</f>
        <v/>
      </c>
    </row>
    <row r="33">
      <c r="A33" s="7" t="inlineStr">
        <is>
          <t>E3.10</t>
        </is>
      </c>
      <c r="B33" s="7" t="inlineStr">
        <is>
          <t>L3</t>
        </is>
      </c>
      <c r="C33" s="7" t="inlineStr">
        <is>
          <t>Verrous</t>
        </is>
      </c>
      <c r="D33" s="7">
        <f>COUNTIF(Tickets!$C$2:$C$211,A33)</f>
        <v/>
      </c>
      <c r="E33" s="7">
        <f>SUMIF(Tickets!$C$2:$C$211,A33,Tickets!$M$2:$M$211)</f>
        <v/>
      </c>
    </row>
    <row r="34">
      <c r="A34" s="7" t="inlineStr">
        <is>
          <t>E3.11</t>
        </is>
      </c>
      <c r="B34" s="7" t="inlineStr">
        <is>
          <t>L3</t>
        </is>
      </c>
      <c r="C34" s="7" t="inlineStr">
        <is>
          <t>Avertissements acceptés</t>
        </is>
      </c>
      <c r="D34" s="7">
        <f>COUNTIF(Tickets!$C$2:$C$211,A34)</f>
        <v/>
      </c>
      <c r="E34" s="7">
        <f>SUMIF(Tickets!$C$2:$C$211,A34,Tickets!$M$2:$M$211)</f>
        <v/>
      </c>
    </row>
    <row r="35">
      <c r="A35" s="7" t="inlineStr">
        <is>
          <t>E3.12</t>
        </is>
      </c>
      <c r="B35" s="7" t="inlineStr">
        <is>
          <t>L3</t>
        </is>
      </c>
      <c r="C35" s="7" t="inlineStr">
        <is>
          <t>Covoiturage &amp; exigences de salle</t>
        </is>
      </c>
      <c r="D35" s="7">
        <f>COUNTIF(Tickets!$C$2:$C$211,A35)</f>
        <v/>
      </c>
      <c r="E35" s="7">
        <f>SUMIF(Tickets!$C$2:$C$211,A35,Tickets!$M$2:$M$211)</f>
        <v/>
      </c>
    </row>
    <row r="36">
      <c r="A36" s="7" t="inlineStr">
        <is>
          <t>E3.13</t>
        </is>
      </c>
      <c r="B36" s="7" t="inlineStr">
        <is>
          <t>L3</t>
        </is>
      </c>
      <c r="C36" s="7" t="inlineStr">
        <is>
          <t>Imports de planification</t>
        </is>
      </c>
      <c r="D36" s="7">
        <f>COUNTIF(Tickets!$C$2:$C$211,A36)</f>
        <v/>
      </c>
      <c r="E36" s="7">
        <f>SUMIF(Tickets!$C$2:$C$211,A36,Tickets!$M$2:$M$211)</f>
        <v/>
      </c>
    </row>
    <row r="37">
      <c r="A37" s="7" t="inlineStr">
        <is>
          <t>E4.1</t>
        </is>
      </c>
      <c r="B37" s="7" t="inlineStr">
        <is>
          <t>L4</t>
        </is>
      </c>
      <c r="C37" s="7" t="inlineStr">
        <is>
          <t>Spike FET (S1)</t>
        </is>
      </c>
      <c r="D37" s="7">
        <f>COUNTIF(Tickets!$C$2:$C$211,A37)</f>
        <v/>
      </c>
      <c r="E37" s="7">
        <f>SUMIF(Tickets!$C$2:$C$211,A37,Tickets!$M$2:$M$211)</f>
        <v/>
      </c>
    </row>
    <row r="38">
      <c r="A38" s="7" t="inlineStr">
        <is>
          <t>E4.2</t>
        </is>
      </c>
      <c r="B38" s="7" t="inlineStr">
        <is>
          <t>L4</t>
        </is>
      </c>
      <c r="C38" s="7" t="inlineStr">
        <is>
          <t>Port &amp; adaptateur FET</t>
        </is>
      </c>
      <c r="D38" s="7">
        <f>COUNTIF(Tickets!$C$2:$C$211,A38)</f>
        <v/>
      </c>
      <c r="E38" s="7">
        <f>SUMIF(Tickets!$C$2:$C$211,A38,Tickets!$M$2:$M$211)</f>
        <v/>
      </c>
    </row>
    <row r="39">
      <c r="A39" s="7" t="inlineStr">
        <is>
          <t>E4.3</t>
        </is>
      </c>
      <c r="B39" s="7" t="inlineStr">
        <is>
          <t>L4</t>
        </is>
      </c>
      <c r="C39" s="7" t="inlineStr">
        <is>
          <t>Worker de génération</t>
        </is>
      </c>
      <c r="D39" s="7">
        <f>COUNTIF(Tickets!$C$2:$C$211,A39)</f>
        <v/>
      </c>
      <c r="E39" s="7">
        <f>SUMIF(Tickets!$C$2:$C$211,A39,Tickets!$M$2:$M$211)</f>
        <v/>
      </c>
    </row>
    <row r="40">
      <c r="A40" s="7" t="inlineStr">
        <is>
          <t>E4.4</t>
        </is>
      </c>
      <c r="B40" s="7" t="inlineStr">
        <is>
          <t>L4</t>
        </is>
      </c>
      <c r="C40" s="7" t="inlineStr">
        <is>
          <t>Profils de génération</t>
        </is>
      </c>
      <c r="D40" s="7">
        <f>COUNTIF(Tickets!$C$2:$C$211,A40)</f>
        <v/>
      </c>
      <c r="E40" s="7">
        <f>SUMIF(Tickets!$C$2:$C$211,A40,Tickets!$M$2:$M$211)</f>
        <v/>
      </c>
    </row>
    <row r="41">
      <c r="A41" s="7" t="inlineStr">
        <is>
          <t>E4.5</t>
        </is>
      </c>
      <c r="B41" s="7" t="inlineStr">
        <is>
          <t>L4</t>
        </is>
      </c>
      <c r="C41" s="7" t="inlineStr">
        <is>
          <t>Préparation et périmètre</t>
        </is>
      </c>
      <c r="D41" s="7">
        <f>COUNTIF(Tickets!$C$2:$C$211,A41)</f>
        <v/>
      </c>
      <c r="E41" s="7">
        <f>SUMIF(Tickets!$C$2:$C$211,A41,Tickets!$M$2:$M$211)</f>
        <v/>
      </c>
    </row>
    <row r="42">
      <c r="A42" s="7" t="inlineStr">
        <is>
          <t>E4.6</t>
        </is>
      </c>
      <c r="B42" s="7" t="inlineStr">
        <is>
          <t>L4</t>
        </is>
      </c>
      <c r="C42" s="7" t="inlineStr">
        <is>
          <t>API de génération</t>
        </is>
      </c>
      <c r="D42" s="7">
        <f>COUNTIF(Tickets!$C$2:$C$211,A42)</f>
        <v/>
      </c>
      <c r="E42" s="7">
        <f>SUMIF(Tickets!$C$2:$C$211,A42,Tickets!$M$2:$M$211)</f>
        <v/>
      </c>
    </row>
    <row r="43">
      <c r="A43" s="7" t="inlineStr">
        <is>
          <t>E4.7</t>
        </is>
      </c>
      <c r="B43" s="7" t="inlineStr">
        <is>
          <t>L4</t>
        </is>
      </c>
      <c r="C43" s="7" t="inlineStr">
        <is>
          <t>Comparaison &amp; adoption</t>
        </is>
      </c>
      <c r="D43" s="7">
        <f>COUNTIF(Tickets!$C$2:$C$211,A43)</f>
        <v/>
      </c>
      <c r="E43" s="7">
        <f>SUMIF(Tickets!$C$2:$C$211,A43,Tickets!$M$2:$M$211)</f>
        <v/>
      </c>
    </row>
    <row r="44">
      <c r="A44" s="7" t="inlineStr">
        <is>
          <t>E4.8</t>
        </is>
      </c>
      <c r="B44" s="7" t="inlineStr">
        <is>
          <t>L4</t>
        </is>
      </c>
      <c r="C44" s="7" t="inlineStr">
        <is>
          <t>UI génération</t>
        </is>
      </c>
      <c r="D44" s="7">
        <f>COUNTIF(Tickets!$C$2:$C$211,A44)</f>
        <v/>
      </c>
      <c r="E44" s="7">
        <f>SUMIF(Tickets!$C$2:$C$211,A44,Tickets!$M$2:$M$211)</f>
        <v/>
      </c>
    </row>
    <row r="45">
      <c r="A45" s="7" t="inlineStr">
        <is>
          <t>E5.1</t>
        </is>
      </c>
      <c r="B45" s="7" t="inlineStr">
        <is>
          <t>L5</t>
        </is>
      </c>
      <c r="C45" s="7" t="inlineStr">
        <is>
          <t>Machine d'états des versions</t>
        </is>
      </c>
      <c r="D45" s="7">
        <f>COUNTIF(Tickets!$C$2:$C$211,A45)</f>
        <v/>
      </c>
      <c r="E45" s="7">
        <f>SUMIF(Tickets!$C$2:$C$211,A45,Tickets!$M$2:$M$211)</f>
        <v/>
      </c>
    </row>
    <row r="46">
      <c r="A46" s="7" t="inlineStr">
        <is>
          <t>E5.2</t>
        </is>
      </c>
      <c r="B46" s="7" t="inlineStr">
        <is>
          <t>L5</t>
        </is>
      </c>
      <c r="C46" s="7" t="inlineStr">
        <is>
          <t>Validation par les Responsables</t>
        </is>
      </c>
      <c r="D46" s="7">
        <f>COUNTIF(Tickets!$C$2:$C$211,A46)</f>
        <v/>
      </c>
      <c r="E46" s="7">
        <f>SUMIF(Tickets!$C$2:$C$211,A46,Tickets!$M$2:$M$211)</f>
        <v/>
      </c>
    </row>
    <row r="47">
      <c r="A47" s="7" t="inlineStr">
        <is>
          <t>E5.3</t>
        </is>
      </c>
      <c r="B47" s="7" t="inlineStr">
        <is>
          <t>L5</t>
        </is>
      </c>
      <c r="C47" s="7" t="inlineStr">
        <is>
          <t>Publication &amp; révisions</t>
        </is>
      </c>
      <c r="D47" s="7">
        <f>COUNTIF(Tickets!$C$2:$C$211,A47)</f>
        <v/>
      </c>
      <c r="E47" s="7">
        <f>SUMIF(Tickets!$C$2:$C$211,A47,Tickets!$M$2:$M$211)</f>
        <v/>
      </c>
    </row>
    <row r="48">
      <c r="A48" s="7" t="inlineStr">
        <is>
          <t>E5.4</t>
        </is>
      </c>
      <c r="B48" s="7" t="inlineStr">
        <is>
          <t>L5</t>
        </is>
      </c>
      <c r="C48" s="7" t="inlineStr">
        <is>
          <t>UI workflow</t>
        </is>
      </c>
      <c r="D48" s="7">
        <f>COUNTIF(Tickets!$C$2:$C$211,A48)</f>
        <v/>
      </c>
      <c r="E48" s="7">
        <f>SUMIF(Tickets!$C$2:$C$211,A48,Tickets!$M$2:$M$211)</f>
        <v/>
      </c>
    </row>
    <row r="49">
      <c r="A49" s="7" t="inlineStr">
        <is>
          <t>E5.5</t>
        </is>
      </c>
      <c r="B49" s="7" t="inlineStr">
        <is>
          <t>L5</t>
        </is>
      </c>
      <c r="C49" s="7" t="inlineStr">
        <is>
          <t>Circuit de validation configurable</t>
        </is>
      </c>
      <c r="D49" s="7">
        <f>COUNTIF(Tickets!$C$2:$C$211,A49)</f>
        <v/>
      </c>
      <c r="E49" s="7">
        <f>SUMIF(Tickets!$C$2:$C$211,A49,Tickets!$M$2:$M$211)</f>
        <v/>
      </c>
    </row>
    <row r="50">
      <c r="A50" s="7" t="inlineStr">
        <is>
          <t>E5.6</t>
        </is>
      </c>
      <c r="B50" s="7" t="inlineStr">
        <is>
          <t>L5</t>
        </is>
      </c>
      <c r="C50" s="7" t="inlineStr">
        <is>
          <t>Notifications</t>
        </is>
      </c>
      <c r="D50" s="7">
        <f>COUNTIF(Tickets!$C$2:$C$211,A50)</f>
        <v/>
      </c>
      <c r="E50" s="7">
        <f>SUMIF(Tickets!$C$2:$C$211,A50,Tickets!$M$2:$M$211)</f>
        <v/>
      </c>
    </row>
    <row r="51">
      <c r="A51" s="7" t="inlineStr">
        <is>
          <t>E5.7</t>
        </is>
      </c>
      <c r="B51" s="7" t="inlineStr">
        <is>
          <t>L5</t>
        </is>
      </c>
      <c r="C51" s="7" t="inlineStr">
        <is>
          <t>Tableau de bord</t>
        </is>
      </c>
      <c r="D51" s="7">
        <f>COUNTIF(Tickets!$C$2:$C$211,A51)</f>
        <v/>
      </c>
      <c r="E51" s="7">
        <f>SUMIF(Tickets!$C$2:$C$211,A51,Tickets!$M$2:$M$211)</f>
        <v/>
      </c>
    </row>
    <row r="52">
      <c r="A52" s="7" t="inlineStr">
        <is>
          <t>E5.8</t>
        </is>
      </c>
      <c r="B52" s="7" t="inlineStr">
        <is>
          <t>L5</t>
        </is>
      </c>
      <c r="C52" s="7" t="inlineStr">
        <is>
          <t>Espace Direction</t>
        </is>
      </c>
      <c r="D52" s="7">
        <f>COUNTIF(Tickets!$C$2:$C$211,A52)</f>
        <v/>
      </c>
      <c r="E52" s="7">
        <f>SUMIF(Tickets!$C$2:$C$211,A52,Tickets!$M$2:$M$211)</f>
        <v/>
      </c>
    </row>
    <row r="53">
      <c r="A53" s="7" t="inlineStr">
        <is>
          <t>E6.1</t>
        </is>
      </c>
      <c r="B53" s="7" t="inlineStr">
        <is>
          <t>L6</t>
        </is>
      </c>
      <c r="C53" s="7" t="inlineStr">
        <is>
          <t>Spike PDF/Excel (S2)</t>
        </is>
      </c>
      <c r="D53" s="7">
        <f>COUNTIF(Tickets!$C$2:$C$211,A53)</f>
        <v/>
      </c>
      <c r="E53" s="7">
        <f>SUMIF(Tickets!$C$2:$C$211,A53,Tickets!$M$2:$M$211)</f>
        <v/>
      </c>
    </row>
    <row r="54">
      <c r="A54" s="7" t="inlineStr">
        <is>
          <t>E6.2</t>
        </is>
      </c>
      <c r="B54" s="7" t="inlineStr">
        <is>
          <t>L6</t>
        </is>
      </c>
      <c r="C54" s="7" t="inlineStr">
        <is>
          <t>Modèles &amp; jobs d'export</t>
        </is>
      </c>
      <c r="D54" s="7">
        <f>COUNTIF(Tickets!$C$2:$C$211,A54)</f>
        <v/>
      </c>
      <c r="E54" s="7">
        <f>SUMIF(Tickets!$C$2:$C$211,A54,Tickets!$M$2:$M$211)</f>
        <v/>
      </c>
    </row>
    <row r="55">
      <c r="A55" s="7" t="inlineStr">
        <is>
          <t>E6.3</t>
        </is>
      </c>
      <c r="B55" s="7" t="inlineStr">
        <is>
          <t>L6</t>
        </is>
      </c>
      <c r="C55" s="7" t="inlineStr">
        <is>
          <t>Rendus XLSX/PDF</t>
        </is>
      </c>
      <c r="D55" s="7">
        <f>COUNTIF(Tickets!$C$2:$C$211,A55)</f>
        <v/>
      </c>
      <c r="E55" s="7">
        <f>SUMIF(Tickets!$C$2:$C$211,A55,Tickets!$M$2:$M$211)</f>
        <v/>
      </c>
    </row>
    <row r="56">
      <c r="A56" s="7" t="inlineStr">
        <is>
          <t>E6.4</t>
        </is>
      </c>
      <c r="B56" s="7" t="inlineStr">
        <is>
          <t>L6</t>
        </is>
      </c>
      <c r="C56" s="7" t="inlineStr">
        <is>
          <t>UI exports</t>
        </is>
      </c>
      <c r="D56" s="7">
        <f>COUNTIF(Tickets!$C$2:$C$211,A56)</f>
        <v/>
      </c>
      <c r="E56" s="7">
        <f>SUMIF(Tickets!$C$2:$C$211,A56,Tickets!$M$2:$M$211)</f>
        <v/>
      </c>
    </row>
    <row r="57">
      <c r="A57" s="7" t="inlineStr">
        <is>
          <t>E7.1</t>
        </is>
      </c>
      <c r="B57" s="7" t="inlineStr">
        <is>
          <t>L7</t>
        </is>
      </c>
      <c r="C57" s="7" t="inlineStr">
        <is>
          <t>Clôture &amp; archivage</t>
        </is>
      </c>
      <c r="D57" s="7">
        <f>COUNTIF(Tickets!$C$2:$C$211,A57)</f>
        <v/>
      </c>
      <c r="E57" s="7">
        <f>SUMIF(Tickets!$C$2:$C$211,A57,Tickets!$M$2:$M$211)</f>
        <v/>
      </c>
    </row>
    <row r="58">
      <c r="A58" s="7" t="inlineStr">
        <is>
          <t>E7.2</t>
        </is>
      </c>
      <c r="B58" s="7" t="inlineStr">
        <is>
          <t>L7</t>
        </is>
      </c>
      <c r="C58" s="7" t="inlineStr">
        <is>
          <t>Durcissement sécurité</t>
        </is>
      </c>
      <c r="D58" s="7">
        <f>COUNTIF(Tickets!$C$2:$C$211,A58)</f>
        <v/>
      </c>
      <c r="E58" s="7">
        <f>SUMIF(Tickets!$C$2:$C$211,A58,Tickets!$M$2:$M$211)</f>
        <v/>
      </c>
    </row>
    <row r="59">
      <c r="A59" s="7" t="inlineStr">
        <is>
          <t>E7.3</t>
        </is>
      </c>
      <c r="B59" s="7" t="inlineStr">
        <is>
          <t>L7</t>
        </is>
      </c>
      <c r="C59" s="7" t="inlineStr">
        <is>
          <t>Performance</t>
        </is>
      </c>
      <c r="D59" s="7">
        <f>COUNTIF(Tickets!$C$2:$C$211,A59)</f>
        <v/>
      </c>
      <c r="E59" s="7">
        <f>SUMIF(Tickets!$C$2:$C$211,A59,Tickets!$M$2:$M$211)</f>
        <v/>
      </c>
    </row>
    <row r="60">
      <c r="A60" s="7" t="inlineStr">
        <is>
          <t>E7.4</t>
        </is>
      </c>
      <c r="B60" s="7" t="inlineStr">
        <is>
          <t>L7</t>
        </is>
      </c>
      <c r="C60" s="7" t="inlineStr">
        <is>
          <t>Exploitation &amp; conformité</t>
        </is>
      </c>
      <c r="D60" s="7">
        <f>COUNTIF(Tickets!$C$2:$C$211,A60)</f>
        <v/>
      </c>
      <c r="E60" s="7">
        <f>SUMIF(Tickets!$C$2:$C$211,A60,Tickets!$M$2:$M$211)</f>
        <v/>
      </c>
    </row>
    <row r="61">
      <c r="A61" s="7" t="inlineStr">
        <is>
          <t>E7.5</t>
        </is>
      </c>
      <c r="B61" s="7" t="inlineStr">
        <is>
          <t>L7</t>
        </is>
      </c>
      <c r="C61" s="7" t="inlineStr">
        <is>
          <t>Recette &amp; mise en production</t>
        </is>
      </c>
      <c r="D61" s="7">
        <f>COUNTIF(Tickets!$C$2:$C$211,A61)</f>
        <v/>
      </c>
      <c r="E61" s="7">
        <f>SUMIF(Tickets!$C$2:$C$211,A61,Tickets!$M$2:$M$211)</f>
        <v/>
      </c>
    </row>
    <row r="62">
      <c r="A62" s="3" t="inlineStr">
        <is>
          <t>Total</t>
        </is>
      </c>
      <c r="D62" s="3">
        <f>SUM(D2:D61)</f>
        <v/>
      </c>
      <c r="E62" s="3">
        <f>SUM(E2:E61)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2026-10-17T14:27:23Z</dcterms:created>
  <dcterms:modified xmlns:dcterms="http://purl.org/dc/terms/" xmlns:xsi="http://www.w3.org/2001/XMLSchema-instance" xsi:type="dcterms:W3CDTF">2026-10-17T14:27:23Z</dcterms:modified>
</cp:coreProperties>
</file>