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L0-22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En cours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Droits étendus de l'Administrateur et séparation des tâches</t>
        </is>
      </c>
      <c r="G22" s="5" t="inlineStr">
        <is>
          <t>L'Administrateur détient l'union des droits du Gestionnaire, écrit la répartition de tout département et valide par département ; garde de séparation des tâches.</t>
        </is>
      </c>
      <c r="H22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2" s="5" t="inlineStr">
        <is>
          <t>EX-ROL-02, EX-ROL-06</t>
        </is>
      </c>
      <c r="J22" s="5" t="inlineStr">
        <is>
          <t>§5.2, §4.1.1</t>
        </is>
      </c>
      <c r="K22" s="5" t="inlineStr">
        <is>
          <t>BACK</t>
        </is>
      </c>
      <c r="L22" s="5" t="inlineStr">
        <is>
          <t>Must</t>
        </is>
      </c>
      <c r="M22" s="5" t="n">
        <v>3</v>
      </c>
      <c r="N22" s="5" t="inlineStr">
        <is>
          <t>L0-19</t>
        </is>
      </c>
      <c r="O22" s="5" t="inlineStr">
        <is>
          <t>À faire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E0.5</t>
        </is>
      </c>
      <c r="D23" s="5" t="inlineStr">
        <is>
          <t>Audit append-only</t>
        </is>
      </c>
      <c r="E23" s="5" t="inlineStr">
        <is>
          <t>Story</t>
        </is>
      </c>
      <c r="F23" s="5" t="inlineStr">
        <is>
          <t>AuditService append-only</t>
        </is>
      </c>
      <c r="G23" s="5" t="inlineStr">
        <is>
          <t>Écriture de l'audit dans la même transaction que l'écriture métier.</t>
        </is>
      </c>
      <c r="H23" s="5" t="inlineStr">
        <is>
          <t>- Une action métier et son audit sont atomiques
- UPDATE et DELETE sur AuditLog sont refusés (trigger et REVOKE)
- L'audit contient ancienne et nouvelle valeur</t>
        </is>
      </c>
      <c r="I23" s="5" t="inlineStr">
        <is>
          <t>EX-AUD-01</t>
        </is>
      </c>
      <c r="J23" s="5" t="inlineStr">
        <is>
          <t>§2.4, §0.5</t>
        </is>
      </c>
      <c r="K23" s="5" t="inlineStr">
        <is>
          <t>BACK</t>
        </is>
      </c>
      <c r="L23" s="5" t="inlineStr">
        <is>
          <t>Must</t>
        </is>
      </c>
      <c r="M23" s="5" t="n">
        <v>5</v>
      </c>
      <c r="N23" s="5" t="inlineStr">
        <is>
          <t>L0-04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Consultation de l'audit</t>
        </is>
      </c>
      <c r="G24" s="5" t="inlineStr">
        <is>
          <t>GET /audit avec filtres, complet pour l'Administrateur, limité pour Gestionnaire et Responsable, consultation pour la Direction.</t>
        </is>
      </c>
      <c r="H24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4" s="5" t="inlineStr">
        <is>
          <t>EX-AUD-01, EX-ROL-04</t>
        </is>
      </c>
      <c r="J24" s="5" t="inlineStr">
        <is>
          <t>§3.3, §5.3</t>
        </is>
      </c>
      <c r="K24" s="5" t="inlineStr">
        <is>
          <t>BACK</t>
        </is>
      </c>
      <c r="L24" s="5" t="inlineStr">
        <is>
          <t>Should</t>
        </is>
      </c>
      <c r="M24" s="5" t="n">
        <v>3</v>
      </c>
      <c r="N24" s="5" t="inlineStr">
        <is>
          <t>L0-22, L0-19</t>
        </is>
      </c>
      <c r="O24" s="5" t="inlineStr">
        <is>
          <t>À faire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Conservation et purge des journaux</t>
        </is>
      </c>
      <c r="G25" s="5" t="inlineStr">
        <is>
          <t>Fonction purge_journaux (rôle audit_purge), durées configurables, purge tracée.</t>
        </is>
      </c>
      <c r="H25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5" s="5" t="inlineStr">
        <is>
          <t>EX-AUD-02</t>
        </is>
      </c>
      <c r="J25" s="5" t="inlineStr">
        <is>
          <t>§2.4,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L0-13, L0-22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E0.6</t>
        </is>
      </c>
      <c r="D26" s="5" t="inlineStr">
        <is>
          <t>Socle API</t>
        </is>
      </c>
      <c r="E26" s="5" t="inlineStr">
        <is>
          <t>Tâche technique</t>
        </is>
      </c>
      <c r="F26" s="5" t="inlineStr">
        <is>
          <t>Erreurs RFC 9457 et catalogue de codes</t>
        </is>
      </c>
      <c r="G26" s="5" t="inlineStr">
        <is>
          <t>Format problem+json, codes métier, traduction SQLSTATE P0001 et 23505.</t>
        </is>
      </c>
      <c r="H26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6" s="5" t="inlineStr">
        <is>
          <t>—</t>
        </is>
      </c>
      <c r="J26" s="5" t="inlineStr">
        <is>
          <t>§3.2, §2.4</t>
        </is>
      </c>
      <c r="K26" s="5" t="inlineStr">
        <is>
          <t>BACK</t>
        </is>
      </c>
      <c r="L26" s="5" t="inlineStr">
        <is>
          <t>Must</t>
        </is>
      </c>
      <c r="M26" s="5" t="n">
        <v>5</v>
      </c>
      <c r="N26" s="5" t="inlineStr">
        <is>
          <t>L0-01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Conventions HTTP transverses</t>
        </is>
      </c>
      <c r="G27" s="5" t="inlineStr">
        <is>
          <t>ETag et If-Match, pagination par curseur, Idempotency-Key, throttling, Helmet, CORS.</t>
        </is>
      </c>
      <c r="H27" s="5" t="inlineStr">
        <is>
          <t>- If-Match absent ou périmé renvoie 412
- Pagination limit et cursor opérationnelle
- Rate limiting renforcé sur /auth/*</t>
        </is>
      </c>
      <c r="I27" s="5" t="inlineStr">
        <is>
          <t>—</t>
        </is>
      </c>
      <c r="J27" s="5" t="inlineStr">
        <is>
          <t>§3.1, §5.3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L0-25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OpenAPI 3.1 généré</t>
        </is>
      </c>
      <c r="G28" s="5" t="inlineStr">
        <is>
          <t>Documentation exposée sur /api/docs, désactivable en production publique.</t>
        </is>
      </c>
      <c r="H28" s="5" t="inlineStr">
        <is>
          <t>- Le contrat est généré depuis le code
- /api/docs est désactivé en production publique</t>
        </is>
      </c>
      <c r="I28" s="5" t="inlineStr">
        <is>
          <t>—</t>
        </is>
      </c>
      <c r="J28" s="5" t="inlineStr">
        <is>
          <t>§3.1</t>
        </is>
      </c>
      <c r="K28" s="5" t="inlineStr">
        <is>
          <t>BACK</t>
        </is>
      </c>
      <c r="L28" s="5" t="inlineStr">
        <is>
          <t>Should</t>
        </is>
      </c>
      <c r="M28" s="5" t="n">
        <v>2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E0.7</t>
        </is>
      </c>
      <c r="D29" s="5" t="inlineStr">
        <is>
          <t>Socle web</t>
        </is>
      </c>
      <c r="E29" s="5" t="inlineStr">
        <is>
          <t>Story</t>
        </is>
      </c>
      <c r="F29" s="5" t="inlineStr">
        <is>
          <t>Shell web, navigation par rôle et connexion</t>
        </is>
      </c>
      <c r="G29" s="5" t="inlineStr">
        <is>
          <t>Layout, login, MFA, changement de mot de passe, refresh transparent, React Query, shadcn, i18n français (textes externalisés), libellés d'états du glossaire.</t>
        </is>
      </c>
      <c r="H29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29" s="5" t="inlineStr">
        <is>
          <t>EX-NFR-08, EX-EXP-01</t>
        </is>
      </c>
      <c r="J29" s="5" t="inlineStr">
        <is>
          <t>§0.1, §5.1</t>
        </is>
      </c>
      <c r="K29" s="5" t="inlineStr">
        <is>
          <t>FRONT</t>
        </is>
      </c>
      <c r="L29" s="5" t="inlineStr">
        <is>
          <t>Must</t>
        </is>
      </c>
      <c r="M29" s="5" t="n">
        <v>8</v>
      </c>
      <c r="N29" s="5" t="inlineStr">
        <is>
          <t>L0-10, L0-05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Écran d'administration des utilisateurs</t>
        </is>
      </c>
      <c r="G30" s="5" t="inlineStr">
        <is>
          <t>Liste, création, rôles et portées, activation, désactivation, déclenchement de réinitialisation, MFA.</t>
        </is>
      </c>
      <c r="H30" s="5" t="inlineStr">
        <is>
          <t>- L'Administrateur crée un compte et affecte rôle et département
- Il déclenche une réinitialisation sans voir de mot de passe
- Les erreurs API sont affichées de façon lisible</t>
        </is>
      </c>
      <c r="I30" s="5" t="inlineStr">
        <is>
          <t>EX-SEC-02, EX-SEC-03</t>
        </is>
      </c>
      <c r="J30" s="5" t="inlineStr">
        <is>
          <t>§3.3</t>
        </is>
      </c>
      <c r="K30" s="5" t="inlineStr">
        <is>
          <t>FRONT</t>
        </is>
      </c>
      <c r="L30" s="5" t="inlineStr">
        <is>
          <t>Must</t>
        </is>
      </c>
      <c r="M30" s="5" t="n">
        <v>5</v>
      </c>
      <c r="N30" s="5" t="inlineStr">
        <is>
          <t>L0-28, L0-15, L0-16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Écrans des paramètres de sécurité et du journal</t>
        </is>
      </c>
      <c r="G31" s="5" t="inlineStr">
        <is>
          <t>Paramètres de sécurité, conservation, journal de sécurité (Administrateur).</t>
        </is>
      </c>
      <c r="H31" s="5" t="inlineStr">
        <is>
          <t>- Tous les paramètres sont modifiables avec leurs valeurs courantes et par défaut
- Le journal est filtrable par type, utilisateur et période
- Accès réservé à l'Administrateur</t>
        </is>
      </c>
      <c r="I31" s="5" t="inlineStr">
        <is>
          <t>EX-SEC-04, EX-SEC-09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Should</t>
        </is>
      </c>
      <c r="M31" s="5" t="n">
        <v>5</v>
      </c>
      <c r="N31" s="5" t="inlineStr">
        <is>
          <t>L0-28, L0-13, L0-18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Tâche technique</t>
        </is>
      </c>
      <c r="F32" s="5" t="inlineStr">
        <is>
          <t>JWT Auth Guard (JwtAuthGuard)</t>
        </is>
      </c>
      <c r="G32" s="5" t="inlineStr">
        <is>
          <t>Implémentation du guard JwtAuthGuard pour protéger les routes avec vérification du JWT d'accès (signature, expiration, revocation via refresh token family).</t>
        </is>
      </c>
      <c r="H32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2" s="5" t="inlineStr">
        <is>
          <t>EX-SEC-01</t>
        </is>
      </c>
      <c r="J32" s="5" t="inlineStr">
        <is>
          <t>§5.1</t>
        </is>
      </c>
      <c r="K32" s="5" t="inlineStr">
        <is>
          <t>BACK</t>
        </is>
      </c>
      <c r="L32" s="5" t="inlineStr">
        <is>
          <t>Must</t>
        </is>
      </c>
      <c r="M32" s="5" t="n">
        <v>3</v>
      </c>
      <c r="N32" s="5" t="inlineStr">
        <is>
          <t>L0-10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RolesGuard et décorateur @Roles()</t>
        </is>
      </c>
      <c r="G33" s="5" t="inlineStr">
        <is>
          <t>Guard RolesGuard vérifiant les rôles requis et la portée département ; décorateur @Roles() pour déclarer les rôles attendus sur les contrôleurs.</t>
        </is>
      </c>
      <c r="H33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L0-31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Story</t>
        </is>
      </c>
      <c r="F34" s="5" t="inlineStr">
        <is>
          <t>UsersModule (CRUD + reset‑pwd)</t>
        </is>
      </c>
      <c r="G34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4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4" s="5" t="inlineStr">
        <is>
          <t>EX-SEC-02</t>
        </is>
      </c>
      <c r="J34" s="5" t="inlineStr">
        <is>
          <t>§5.1, §3.4.21</t>
        </is>
      </c>
      <c r="K34" s="5" t="inlineStr">
        <is>
          <t>BACK</t>
        </is>
      </c>
      <c r="L34" s="5" t="inlineStr">
        <is>
          <t>Must</t>
        </is>
      </c>
      <c r="M34" s="5" t="n">
        <v>5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Tâche technique</t>
        </is>
      </c>
      <c r="F35" s="5" t="inlineStr">
        <is>
          <t>Filtre global ProblemJson (RFC 9457)</t>
        </is>
      </c>
      <c r="G35" s="5" t="inlineStr">
        <is>
          <t>Filtre d'exception global transformant toute erreur en réponse application/problem+json (type, title, status, detail, instance, errors).</t>
        </is>
      </c>
      <c r="H35" s="5" t="inlineStr">
        <is>
          <t>- Toutes les HttpException et erreurs imprévues passent par le filtre
- Le format respecte RFC 9457
- Le type d'erreur contient une URI stable https://takt.example.fr/errors/{status}</t>
        </is>
      </c>
      <c r="I35" s="5" t="inlineStr">
        <is>
          <t>EX-NFR-05</t>
        </is>
      </c>
      <c r="J35" s="5" t="inlineStr">
        <is>
          <t>§5.4</t>
        </is>
      </c>
      <c r="K35" s="5" t="inlineStr">
        <is>
          <t>BACK</t>
        </is>
      </c>
      <c r="L35" s="5" t="inlineStr">
        <is>
          <t>Must</t>
        </is>
      </c>
      <c r="M35" s="5" t="n">
        <v>3</v>
      </c>
      <c r="N35" s="5" t="inlineStr">
        <is>
          <t>L0-31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Intercepteur de réponse avec en‑tête Link (pagination curseur)</t>
        </is>
      </c>
      <c r="G36" s="5" t="inlineStr">
        <is>
          <t>ResponseInterceptor ajoutant l'en‑tête Link RFC 5988 (rel=next) lorsque le payload paginé contient nextCursor.</t>
        </is>
      </c>
      <c r="H36" s="5" t="inlineStr">
        <is>
          <t>- L'en‑tête Link n'est ajouté que si nextCursor présent
- L'URL construida conserve les paramètres de requête existants
- Conforme à la pagination curseur définie dans ST §3.1</t>
        </is>
      </c>
      <c r="I36" s="5" t="inlineStr">
        <is>
          <t>EX-NFR-04</t>
        </is>
      </c>
      <c r="J36" s="5" t="inlineStr">
        <is>
          <t>§3.1, §5.4</t>
        </is>
      </c>
      <c r="K36" s="5" t="inlineStr">
        <is>
          <t>BACK</t>
        </is>
      </c>
      <c r="L36" s="5" t="inlineStr">
        <is>
          <t>Must</t>
        </is>
      </c>
      <c r="M36" s="5" t="n">
        <v>2</v>
      </c>
      <c r="N36" s="5" t="inlineStr">
        <is>
          <t>L0-34</t>
        </is>
      </c>
      <c r="O36" s="5" t="inlineStr">
        <is>
          <t>À faire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Configuration Swagger UI à /api/docs</t>
        </is>
      </c>
      <c r="G37" s="5" t="inlineStr">
        <is>
          <t>Initialisation de SwaggerModule avec DocumentBuilder (BearerAuth, tags, version) et exposition de l'UI à /api/docs.</t>
        </is>
      </c>
      <c r="H37" s="5" t="inlineStr">
        <is>
          <t>- L'UI est accessible sans authentification
- Les schémas DTO sont inclus via @ApiProperty
- Le document OpenAPI 3.1 est généré au démarrage</t>
        </is>
      </c>
      <c r="I37" s="5" t="inlineStr">
        <is>
          <t>EX-NFR-09</t>
        </is>
      </c>
      <c r="J37" s="5" t="inlineStr">
        <is>
          <t>§5.3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L0-34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Enregistrement d'événements de sécurité</t>
        </is>
      </c>
      <c r="G38" s="5" t="inlineStr">
        <is>
          <t>Service d'audit pour tracer les événements de sécurité (connexion, échec, MFA, changements de rôle, etc.) et les exposer via API.</t>
        </is>
      </c>
      <c r="H38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8" s="5" t="inlineStr">
        <is>
          <t>EX-SEC-01</t>
        </is>
      </c>
      <c r="J38" s="5" t="inlineStr">
        <is>
          <t>§5.1</t>
        </is>
      </c>
      <c r="K38" s="5" t="inlineStr">
        <is>
          <t>BACK</t>
        </is>
      </c>
      <c r="L38" s="5" t="inlineStr">
        <is>
          <t>Must</t>
        </is>
      </c>
      <c r="M38" s="5" t="n">
        <v>3</v>
      </c>
      <c r="N38" s="5" t="inlineStr">
        <is>
          <t>L0-31, L0-22</t>
        </is>
      </c>
      <c r="O38" s="5" t="inlineStr">
        <is>
          <t>À faire</t>
        </is>
      </c>
      <c r="P38" s="5" t="inlineStr"/>
    </row>
    <row r="39">
      <c r="A39" s="5" t="inlineStr">
        <is>
          <t>L1-01</t>
        </is>
      </c>
      <c r="B39" s="5" t="inlineStr">
        <is>
          <t>L1</t>
        </is>
      </c>
      <c r="C39" s="5" t="inlineStr">
        <is>
          <t>E1.1</t>
        </is>
      </c>
      <c r="D39" s="5" t="inlineStr">
        <is>
          <t>Années &amp; semestres</t>
        </is>
      </c>
      <c r="E39" s="5" t="inlineStr">
        <is>
          <t>Story</t>
        </is>
      </c>
      <c r="F39" s="5" t="inlineStr">
        <is>
          <t>CRUD années et semestres</t>
        </is>
      </c>
      <c r="G39" s="5" t="inlineStr">
        <is>
          <t>Années universitaires et semestres (numéro, code, nbSemaines).</t>
        </is>
      </c>
      <c r="H39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39" s="5" t="inlineStr">
        <is>
          <t>EX-CAL-01</t>
        </is>
      </c>
      <c r="J39" s="5" t="inlineStr">
        <is>
          <t>§2.2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L0-19, L0-22</t>
        </is>
      </c>
      <c r="O39" s="5" t="inlineStr">
        <is>
          <t>À faire</t>
        </is>
      </c>
      <c r="P39" s="5" t="inlineStr"/>
    </row>
    <row r="40">
      <c r="A40" s="5" t="inlineStr">
        <is>
          <t>L1-02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Activation d'une année</t>
        </is>
      </c>
      <c r="G40" s="5" t="inlineStr">
        <is>
          <t>Transition ACTIVER avec gardes (une seule année active).</t>
        </is>
      </c>
      <c r="H40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0" s="5" t="inlineStr">
        <is>
          <t>EX-CAL-01, EX-CAL-05</t>
        </is>
      </c>
      <c r="J40" s="5" t="inlineStr">
        <is>
          <t>§4.1.3, §3.4.15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L1-01</t>
        </is>
      </c>
      <c r="O40" s="5" t="inlineStr">
        <is>
          <t>À faire</t>
        </is>
      </c>
      <c r="P40" s="5" t="inlineStr"/>
    </row>
    <row r="41">
      <c r="A41" s="5" t="inlineStr">
        <is>
          <t>L1-03</t>
        </is>
      </c>
      <c r="B41" s="5" t="inlineStr">
        <is>
          <t>L1</t>
        </is>
      </c>
      <c r="C41" s="5" t="inlineStr">
        <is>
          <t>E1.2</t>
        </is>
      </c>
      <c r="D41" s="5" t="inlineStr">
        <is>
          <t>Structure académique</t>
        </is>
      </c>
      <c r="E41" s="5" t="inlineStr">
        <is>
          <t>Story</t>
        </is>
      </c>
      <c r="F41" s="5" t="inlineStr">
        <is>
          <t>CRUD départements, formations, niveaux</t>
        </is>
      </c>
      <c r="G41" s="5" t="inlineStr">
        <is>
          <t>Structure académique rattachée à l'année avec originId.</t>
        </is>
      </c>
      <c r="H41" s="5" t="inlineStr">
        <is>
          <t>- Unicité par (année, code), (département, code), (formation, code)
- Suppression refusée si référencé (RESTRICT) avec liste des références</t>
        </is>
      </c>
      <c r="I41" s="5" t="inlineStr">
        <is>
          <t>EX-ORG-01</t>
        </is>
      </c>
      <c r="J41" s="5" t="inlineStr">
        <is>
          <t>§2.2, §4.19</t>
        </is>
      </c>
      <c r="K41" s="5" t="inlineStr">
        <is>
          <t>BACK</t>
        </is>
      </c>
      <c r="L41" s="5" t="inlineStr">
        <is>
          <t>Must</t>
        </is>
      </c>
      <c r="M41" s="5" t="n">
        <v>5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L1-04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groupes hiérarchiques par semestre</t>
        </is>
      </c>
      <c r="G42" s="5" t="inlineStr">
        <is>
          <t>SECTION, GROUPE, SOUS_GROUPE, effectif, parent, semestre.</t>
        </is>
      </c>
      <c r="H42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2" s="5" t="inlineStr">
        <is>
          <t>EX-ORG-02</t>
        </is>
      </c>
      <c r="J42" s="5" t="inlineStr">
        <is>
          <t>§2.2, §4.3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L1-03</t>
        </is>
      </c>
      <c r="O42" s="5" t="inlineStr">
        <is>
          <t>À faire</t>
        </is>
      </c>
      <c r="P42" s="5" t="inlineStr"/>
    </row>
    <row r="43">
      <c r="A43" s="5" t="inlineStr">
        <is>
          <t>L1-05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modules, types d'enseignement et grades</t>
        </is>
      </c>
      <c r="G43" s="5" t="inlineStr">
        <is>
          <t>Modules par niveau, types (CM, TD, TP, CI, Autre) et grades paramétrables.</t>
        </is>
      </c>
      <c r="H43" s="5" t="inlineStr">
        <is>
          <t>- Module rattaché à un niveau avec semestreNumero
- Types et grades paramétrables par l'Administrateur</t>
        </is>
      </c>
      <c r="I43" s="5" t="inlineStr">
        <is>
          <t>EX-REF-01, EX-REF-02</t>
        </is>
      </c>
      <c r="J43" s="5" t="inlineStr">
        <is>
          <t>§2.2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L1-06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Référentiel des Activity Tags</t>
        </is>
      </c>
      <c r="G44" s="5" t="inlineStr">
        <is>
          <t>CRUD des FET Activity Tags, tag par défaut d'un type d'enseignement.</t>
        </is>
      </c>
      <c r="H44" s="5" t="inlineStr">
        <is>
          <t>- Un tag est distinct d'un type d'enseignement
- Chaque type porte un tag par défaut
- Un tag référencé ne peut pas être supprimé (désactivation)</t>
        </is>
      </c>
      <c r="I44" s="5" t="inlineStr">
        <is>
          <t>EX-REF-05</t>
        </is>
      </c>
      <c r="J44" s="5" t="inlineStr">
        <is>
          <t>§2.2, §0.1</t>
        </is>
      </c>
      <c r="K44" s="5" t="inlineStr">
        <is>
          <t>BACK</t>
        </is>
      </c>
      <c r="L44" s="5" t="inlineStr">
        <is>
          <t>Must</t>
        </is>
      </c>
      <c r="M44" s="5" t="n">
        <v>3</v>
      </c>
      <c r="N44" s="5" t="inlineStr">
        <is>
          <t>L1-05</t>
        </is>
      </c>
      <c r="O44" s="5" t="inlineStr">
        <is>
          <t>À faire</t>
        </is>
      </c>
      <c r="P44" s="5" t="inlineStr"/>
    </row>
    <row r="45">
      <c r="A45" s="5" t="inlineStr">
        <is>
          <t>L1-07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Nomenclature normalisée des groupes</t>
        </is>
      </c>
      <c r="G45" s="5" t="inlineStr">
        <is>
          <t>Code {niveau}-{abréviation}-{groupe} validé partout.</t>
        </is>
      </c>
      <c r="H45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5" s="5" t="inlineStr">
        <is>
          <t>EX-ORG-03</t>
        </is>
      </c>
      <c r="J45" s="5" t="inlineStr">
        <is>
          <t>§4.10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L1-04</t>
        </is>
      </c>
      <c r="O45" s="5" t="inlineStr">
        <is>
          <t>À faire</t>
        </is>
      </c>
      <c r="P45" s="5" t="inlineStr"/>
    </row>
    <row r="46">
      <c r="A46" s="5" t="inlineStr">
        <is>
          <t>L1-08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Duplication des groupes d'un semestre à l'autre</t>
        </is>
      </c>
      <c r="G46" s="5" t="inlineStr">
        <is>
          <t>POST /groupes/duplicate {sourceSemestre, cibleSemestre}.</t>
        </is>
      </c>
      <c r="H46" s="5" t="inlineStr">
        <is>
          <t>- Parents copiés avant les enfants
- Idempotent via originId
- Effectifs copiés ou réinitialisés avec avertissement
- Aucune affectation copiée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Should</t>
        </is>
      </c>
      <c r="M46" s="5" t="n">
        <v>3</v>
      </c>
      <c r="N46" s="5" t="inlineStr">
        <is>
          <t>L1-07</t>
        </is>
      </c>
      <c r="O46" s="5" t="inlineStr">
        <is>
          <t>À faire</t>
        </is>
      </c>
      <c r="P46" s="5" t="inlineStr"/>
    </row>
    <row r="47">
      <c r="A47" s="5" t="inlineStr">
        <is>
          <t>L1-09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UI structure académique</t>
        </is>
      </c>
      <c r="G47" s="5" t="inlineStr">
        <is>
          <t>Arbre département &gt; formation &gt; niveau &gt; groupes, modules, types, tags.</t>
        </is>
      </c>
      <c r="H47" s="5" t="inlineStr">
        <is>
          <t>- Création, modification et désactivation depuis l'arbre
- Erreurs de suppression RESTRICT expliquées</t>
        </is>
      </c>
      <c r="I47" s="5" t="inlineStr">
        <is>
          <t>EX-ORG-01, EX-ORG-02</t>
        </is>
      </c>
      <c r="J47" s="5" t="inlineStr">
        <is>
          <t>§3.3</t>
        </is>
      </c>
      <c r="K47" s="5" t="inlineStr">
        <is>
          <t>FRONT</t>
        </is>
      </c>
      <c r="L47" s="5" t="inlineStr">
        <is>
          <t>Must</t>
        </is>
      </c>
      <c r="M47" s="5" t="n">
        <v>8</v>
      </c>
      <c r="N47" s="5" t="inlineStr">
        <is>
          <t>L1-04, L1-05, L1-06, L0-28</t>
        </is>
      </c>
      <c r="O47" s="5" t="inlineStr">
        <is>
          <t>À faire</t>
        </is>
      </c>
      <c r="P47" s="5" t="inlineStr"/>
    </row>
    <row r="48">
      <c r="A48" s="5" t="inlineStr">
        <is>
          <t>L1-10</t>
        </is>
      </c>
      <c r="B48" s="5" t="inlineStr">
        <is>
          <t>L1</t>
        </is>
      </c>
      <c r="C48" s="5" t="inlineStr">
        <is>
          <t>E1.3</t>
        </is>
      </c>
      <c r="D48" s="5" t="inlineStr">
        <is>
          <t>Enseignants, grades &amp; décharges</t>
        </is>
      </c>
      <c r="E48" s="5" t="inlineStr">
        <is>
          <t>Story</t>
        </is>
      </c>
      <c r="F48" s="5" t="inlineStr">
        <is>
          <t>CRUD enseignants et modules enseignables</t>
        </is>
      </c>
      <c r="G48" s="5" t="inlineStr">
        <is>
          <t>Enseignant (matricule, grade, département, téléphone facultatif), modules enseignables.</t>
        </is>
      </c>
      <c r="H48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8" s="5" t="inlineStr">
        <is>
          <t>EX-REF-03</t>
        </is>
      </c>
      <c r="J48" s="5" t="inlineStr">
        <is>
          <t>§4.19, §3.3</t>
        </is>
      </c>
      <c r="K48" s="5" t="inlineStr">
        <is>
          <t>BACK</t>
        </is>
      </c>
      <c r="L48" s="5" t="inlineStr">
        <is>
          <t>Must</t>
        </is>
      </c>
      <c r="M48" s="5" t="n">
        <v>5</v>
      </c>
      <c r="N48" s="5" t="inlineStr">
        <is>
          <t>L1-05, L0-19</t>
        </is>
      </c>
      <c r="O48" s="5" t="inlineStr">
        <is>
          <t>À faire</t>
        </is>
      </c>
      <c r="P48" s="5" t="inlineStr"/>
    </row>
    <row r="49">
      <c r="A49" s="5" t="inlineStr">
        <is>
          <t>L1-11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Décharges enseignant</t>
        </is>
      </c>
      <c r="G49" s="5" t="inlineStr">
        <is>
          <t>Décharges par semestre en heures équivalentes.</t>
        </is>
      </c>
      <c r="H49" s="5" t="inlineStr">
        <is>
          <t>- CRUD réservé à l'Administrateur
- Les décharges sont prises en compte par le calcul de charge (L2)</t>
        </is>
      </c>
      <c r="I49" s="5" t="inlineStr">
        <is>
          <t>EX-REF-07</t>
        </is>
      </c>
      <c r="J49" s="5" t="inlineStr">
        <is>
          <t>§2.2, §4.2</t>
        </is>
      </c>
      <c r="K49" s="5" t="inlineStr">
        <is>
          <t>BACK</t>
        </is>
      </c>
      <c r="L49" s="5" t="inlineStr">
        <is>
          <t>Must</t>
        </is>
      </c>
      <c r="M49" s="5" t="n">
        <v>3</v>
      </c>
      <c r="N49" s="5" t="inlineStr">
        <is>
          <t>L1-10</t>
        </is>
      </c>
      <c r="O49" s="5" t="inlineStr">
        <is>
          <t>À faire</t>
        </is>
      </c>
      <c r="P49" s="5" t="inlineStr"/>
    </row>
    <row r="50">
      <c r="A50" s="5" t="inlineStr">
        <is>
          <t>L1-12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UI enseignants</t>
        </is>
      </c>
      <c r="G50" s="5" t="inlineStr">
        <is>
          <t>Liste, fiche, modules enseignables, décharges.</t>
        </is>
      </c>
      <c r="H50" s="5" t="inlineStr">
        <is>
          <t>- Filtres par département et grade
- Le Responsable voit uniquement son département en écriture</t>
        </is>
      </c>
      <c r="I50" s="5" t="inlineStr">
        <is>
          <t>EX-REF-03, EX-REF-07</t>
        </is>
      </c>
      <c r="J50" s="5" t="inlineStr">
        <is>
          <t>§3.3</t>
        </is>
      </c>
      <c r="K50" s="5" t="inlineStr">
        <is>
          <t>FRONT</t>
        </is>
      </c>
      <c r="L50" s="5" t="inlineStr">
        <is>
          <t>Must</t>
        </is>
      </c>
      <c r="M50" s="5" t="n">
        <v>5</v>
      </c>
      <c r="N50" s="5" t="inlineStr">
        <is>
          <t>L1-10, L0-28</t>
        </is>
      </c>
      <c r="O50" s="5" t="inlineStr">
        <is>
          <t>À faire</t>
        </is>
      </c>
      <c r="P50" s="5" t="inlineStr"/>
    </row>
    <row r="51">
      <c r="A51" s="5" t="inlineStr">
        <is>
          <t>L1-13</t>
        </is>
      </c>
      <c r="B51" s="5" t="inlineStr">
        <is>
          <t>L1</t>
        </is>
      </c>
      <c r="C51" s="5" t="inlineStr">
        <is>
          <t>E1.4</t>
        </is>
      </c>
      <c r="D51" s="5" t="inlineStr">
        <is>
          <t>Salles &amp; équipements</t>
        </is>
      </c>
      <c r="E51" s="5" t="inlineStr">
        <is>
          <t>Story</t>
        </is>
      </c>
      <c r="F51" s="5" t="inlineStr">
        <is>
          <t>CRUD salles, types de salle et équipements</t>
        </is>
      </c>
      <c r="G51" s="5" t="inlineStr">
        <is>
          <t>Capacité maximale et recommandée, accessibilité PMR, commentaire, site, rattachement département optionnel.</t>
        </is>
      </c>
      <c r="H51" s="5" t="inlineStr">
        <is>
          <t>- CHECK capacité &gt; 0 et capacité recommandée inférieure ou égale à la maximale
- Salle partagée = département nul
- Désactivation recommandée à la suppression</t>
        </is>
      </c>
      <c r="I51" s="5" t="inlineStr">
        <is>
          <t>EX-REF-04</t>
        </is>
      </c>
      <c r="J51" s="5" t="inlineStr">
        <is>
          <t>§2.2, §2.4</t>
        </is>
      </c>
      <c r="K51" s="5" t="inlineStr">
        <is>
          <t>BACK</t>
        </is>
      </c>
      <c r="L51" s="5" t="inlineStr">
        <is>
          <t>Must</t>
        </is>
      </c>
      <c r="M51" s="5" t="n">
        <v>5</v>
      </c>
      <c r="N51" s="5" t="inlineStr">
        <is>
          <t>L1-03</t>
        </is>
      </c>
      <c r="O51" s="5" t="inlineStr">
        <is>
          <t>À faire</t>
        </is>
      </c>
      <c r="P51" s="5" t="inlineStr"/>
    </row>
    <row r="52">
      <c r="A52" s="5" t="inlineStr">
        <is>
          <t>L1-14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Référentiel des sites</t>
        </is>
      </c>
      <c r="G52" s="5" t="inlineStr">
        <is>
          <t>Site principal et annexes ; rattachement obligatoire d'une salle à un site.</t>
        </is>
      </c>
      <c r="H52" s="5" t="inlineStr">
        <is>
          <t>- Un site principal existe par défaut
- Les filtres et vues par site sont disponibles
- Le site n'a aucun effet de calcul en v1.0</t>
        </is>
      </c>
      <c r="I52" s="5" t="inlineStr">
        <is>
          <t>EX-REF-04</t>
        </is>
      </c>
      <c r="J52" s="5" t="inlineStr">
        <is>
          <t>§2.2</t>
        </is>
      </c>
      <c r="K52" s="5" t="inlineStr">
        <is>
          <t>BACK</t>
        </is>
      </c>
      <c r="L52" s="5" t="inlineStr">
        <is>
          <t>Should</t>
        </is>
      </c>
      <c r="M52" s="5" t="n">
        <v>2</v>
      </c>
      <c r="N52" s="5" t="inlineStr">
        <is>
          <t>L1-13</t>
        </is>
      </c>
      <c r="O52" s="5" t="inlineStr">
        <is>
          <t>À faire</t>
        </is>
      </c>
      <c r="P52" s="5" t="inlineStr"/>
    </row>
    <row r="53">
      <c r="A53" s="5" t="inlineStr">
        <is>
          <t>L1-15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Compatibilités salle/tag et exigences d'équipement</t>
        </is>
      </c>
      <c r="G53" s="5" t="inlineStr">
        <is>
          <t>SalleActivityTag et ExigenceEquipement (module, type, niveau obligatoire ou souhaité).</t>
        </is>
      </c>
      <c r="H53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3" s="5" t="inlineStr">
        <is>
          <t>EX-REF-05, EX-CTR-08</t>
        </is>
      </c>
      <c r="J53" s="5" t="inlineStr">
        <is>
          <t>§2.2, §4.3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L1-13, L1-06</t>
        </is>
      </c>
      <c r="O53" s="5" t="inlineStr">
        <is>
          <t>À faire</t>
        </is>
      </c>
      <c r="P53" s="5" t="inlineStr"/>
    </row>
    <row r="54">
      <c r="A54" s="5" t="inlineStr">
        <is>
          <t>L1-16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UI salles</t>
        </is>
      </c>
      <c r="G54" s="5" t="inlineStr">
        <is>
          <t>Liste, fiche, équipements, tags compatibles, sites.</t>
        </is>
      </c>
      <c r="H54" s="5" t="inlineStr">
        <is>
          <t>- Création et modification d'une salle avec ses compatibilités
- Lecture seule pour le Gestionnaire</t>
        </is>
      </c>
      <c r="I54" s="5" t="inlineStr">
        <is>
          <t>EX-REF-04</t>
        </is>
      </c>
      <c r="J54" s="5" t="inlineStr">
        <is>
          <t>§3.3</t>
        </is>
      </c>
      <c r="K54" s="5" t="inlineStr">
        <is>
          <t>FRONT</t>
        </is>
      </c>
      <c r="L54" s="5" t="inlineStr">
        <is>
          <t>Must</t>
        </is>
      </c>
      <c r="M54" s="5" t="n">
        <v>5</v>
      </c>
      <c r="N54" s="5" t="inlineStr">
        <is>
          <t>L1-15, L1-14, L0-28</t>
        </is>
      </c>
      <c r="O54" s="5" t="inlineStr">
        <is>
          <t>À faire</t>
        </is>
      </c>
      <c r="P54" s="5" t="inlineStr"/>
    </row>
    <row r="55">
      <c r="A55" s="5" t="inlineStr">
        <is>
          <t>L1-17</t>
        </is>
      </c>
      <c r="B55" s="5" t="inlineStr">
        <is>
          <t>L1</t>
        </is>
      </c>
      <c r="C55" s="5" t="inlineStr">
        <is>
          <t>E1.5</t>
        </is>
      </c>
      <c r="D55" s="5" t="inlineStr">
        <is>
          <t>Grille horaire &amp; indisponibilités</t>
        </is>
      </c>
      <c r="E55" s="5" t="inlineStr">
        <is>
          <t>Story</t>
        </is>
      </c>
      <c r="F55" s="5" t="inlineStr">
        <is>
          <t>CRUD créneaux et pauses (par semestre)</t>
        </is>
      </c>
      <c r="G55" s="5" t="inlineStr">
        <is>
          <t>Grille lundi–samedi propre à chaque semestre, ordre consécutif, pauses, pas fixe de 30 minutes.</t>
        </is>
      </c>
      <c r="H55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5" s="5" t="inlineStr">
        <is>
          <t>EX-CAL-02</t>
        </is>
      </c>
      <c r="J55" s="5" t="inlineStr">
        <is>
          <t>§2.2, §2.4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L1-01</t>
        </is>
      </c>
      <c r="O55" s="5" t="inlineStr">
        <is>
          <t>À faire</t>
        </is>
      </c>
      <c r="P55" s="5" t="inlineStr"/>
    </row>
    <row r="56">
      <c r="A56" s="5" t="inlineStr">
        <is>
          <t>L1-18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Générateur de grille horaire par semestre</t>
        </is>
      </c>
      <c r="G56" s="5" t="inlineStr">
        <is>
          <t>POST /semestres/{id}/creneaux/generate : jours ouvrés, heures de début et de fin par jour, pauses.</t>
        </is>
      </c>
      <c r="H56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6" s="5" t="inlineStr">
        <is>
          <t>EX-CAL-02, EX-CAL-03</t>
        </is>
      </c>
      <c r="J56" s="5" t="inlineStr">
        <is>
          <t>§4.10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L1-17</t>
        </is>
      </c>
      <c r="O56" s="5" t="inlineStr">
        <is>
          <t>À faire</t>
        </is>
      </c>
      <c r="P56" s="5" t="inlineStr"/>
    </row>
    <row r="57">
      <c r="A57" s="5" t="inlineStr">
        <is>
          <t>L1-19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Duplication des créneaux depuis un autre semestre ou une autre année</t>
        </is>
      </c>
      <c r="G57" s="5" t="inlineStr">
        <is>
          <t>POST /creneaux/duplicate (action optionnelle).</t>
        </is>
      </c>
      <c r="H57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7" s="5" t="inlineStr">
        <is>
          <t>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Should</t>
        </is>
      </c>
      <c r="M57" s="5" t="n">
        <v>2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L1-20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CRUD indisponibilités enseignants et salles</t>
        </is>
      </c>
      <c r="G58" s="5" t="inlineStr">
        <is>
          <t>Indisponibilité absolue par jour et créneau, rattachée au semestre.</t>
        </is>
      </c>
      <c r="H58" s="5" t="inlineStr">
        <is>
          <t>- CHECK enseignant XOR salle
- Écriture par l'Administrateur et le Gestionnaire
- Un effet sur les versions en cours est déclenché en L3</t>
        </is>
      </c>
      <c r="I58" s="5" t="inlineStr">
        <is>
          <t>EX-REF-06</t>
        </is>
      </c>
      <c r="J58" s="5" t="inlineStr">
        <is>
          <t>§2.2, §2.4</t>
        </is>
      </c>
      <c r="K58" s="5" t="inlineStr">
        <is>
          <t>BACK</t>
        </is>
      </c>
      <c r="L58" s="5" t="inlineStr">
        <is>
          <t>Must</t>
        </is>
      </c>
      <c r="M58" s="5" t="n">
        <v>3</v>
      </c>
      <c r="N58" s="5" t="inlineStr">
        <is>
          <t>L1-17, L1-10, L1-13</t>
        </is>
      </c>
      <c r="O58" s="5" t="inlineStr">
        <is>
          <t>À faire</t>
        </is>
      </c>
      <c r="P58" s="5" t="inlineStr"/>
    </row>
    <row r="59">
      <c r="A59" s="5" t="inlineStr">
        <is>
          <t>L1-21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UI grille horaire et indisponibilités</t>
        </is>
      </c>
      <c r="G59" s="5" t="inlineStr">
        <is>
          <t>Saisie des créneaux, pauses et indisponibilités en grille, via le générateur.</t>
        </is>
      </c>
      <c r="H59" s="5" t="inlineStr">
        <is>
          <t>- La grille affiche jours et créneaux ordonnés
- Sélection de plages multiples pour une indisponibilité
- Les heures de début et de fin par jour passent par le générateur</t>
        </is>
      </c>
      <c r="I59" s="5" t="inlineStr">
        <is>
          <t>EX-CAL-02, EX-REF-06</t>
        </is>
      </c>
      <c r="J59" s="5" t="inlineStr">
        <is>
          <t>§3.3</t>
        </is>
      </c>
      <c r="K59" s="5" t="inlineStr">
        <is>
          <t>FRONT</t>
        </is>
      </c>
      <c r="L59" s="5" t="inlineStr">
        <is>
          <t>Must</t>
        </is>
      </c>
      <c r="M59" s="5" t="n">
        <v>5</v>
      </c>
      <c r="N59" s="5" t="inlineStr">
        <is>
          <t>L1-20, L1-18, L0-28</t>
        </is>
      </c>
      <c r="O59" s="5" t="inlineStr">
        <is>
          <t>À faire</t>
        </is>
      </c>
      <c r="P59" s="5" t="inlineStr"/>
    </row>
    <row r="60">
      <c r="A60" s="5" t="inlineStr">
        <is>
          <t>L1-22</t>
        </is>
      </c>
      <c r="B60" s="5" t="inlineStr">
        <is>
          <t>L1</t>
        </is>
      </c>
      <c r="C60" s="5" t="inlineStr">
        <is>
          <t>E1.6</t>
        </is>
      </c>
      <c r="D60" s="5" t="inlineStr">
        <is>
          <t>Grille Ramadan</t>
        </is>
      </c>
      <c r="E60" s="5" t="inlineStr">
        <is>
          <t>Story</t>
        </is>
      </c>
      <c r="F60" s="5" t="inlineStr">
        <is>
          <t>Correspondance d'affichage Ramadan (modèle et API)</t>
        </is>
      </c>
      <c r="G60" s="5" t="inlineStr">
        <is>
          <t>CreneauAffichage par semestre : horaire Ramadan par créneau logique, durées libres.</t>
        </is>
      </c>
      <c r="H60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0" s="5" t="inlineStr">
        <is>
          <t>EX-CAL-04</t>
        </is>
      </c>
      <c r="J60" s="5" t="inlineStr">
        <is>
          <t>§4.10, §2.2</t>
        </is>
      </c>
      <c r="K60" s="5" t="inlineStr">
        <is>
          <t>BACK</t>
        </is>
      </c>
      <c r="L60" s="5" t="inlineStr">
        <is>
          <t>Must</t>
        </is>
      </c>
      <c r="M60" s="5" t="n">
        <v>5</v>
      </c>
      <c r="N60" s="5" t="inlineStr">
        <is>
          <t>L1-17</t>
        </is>
      </c>
      <c r="O60" s="5" t="inlineStr">
        <is>
          <t>À faire</t>
        </is>
      </c>
      <c r="P60" s="5" t="inlineStr"/>
    </row>
    <row r="61">
      <c r="A61" s="5" t="inlineStr">
        <is>
          <t>L1-23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UI de saisie et de duplication de la grille Ramadan</t>
        </is>
      </c>
      <c r="G61" s="5" t="inlineStr">
        <is>
          <t>Écran de correspondance par semestre, duplication depuis un autre semestre ou une autre année.</t>
        </is>
      </c>
      <c r="H61" s="5" t="inlineStr">
        <is>
          <t>- Saisie jour par jour des horaires Ramadan avec contrôles visibles
- Duplication idempotente
- Aperçu de la grille normale et de la grille Ramadan côte à côte</t>
        </is>
      </c>
      <c r="I61" s="5" t="inlineStr">
        <is>
          <t>EX-CAL-04</t>
        </is>
      </c>
      <c r="J61" s="5" t="inlineStr">
        <is>
          <t>§4.10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L1-22, L0-28</t>
        </is>
      </c>
      <c r="O61" s="5" t="inlineStr">
        <is>
          <t>À faire</t>
        </is>
      </c>
      <c r="P61" s="5" t="inlineStr"/>
    </row>
    <row r="62">
      <c r="A62" s="5" t="inlineStr">
        <is>
          <t>L1-24</t>
        </is>
      </c>
      <c r="B62" s="5" t="inlineStr">
        <is>
          <t>L1</t>
        </is>
      </c>
      <c r="C62" s="5" t="inlineStr">
        <is>
          <t>E1.7</t>
        </is>
      </c>
      <c r="D62" s="5" t="inlineStr">
        <is>
          <t>Import depuis une année clôturée</t>
        </is>
      </c>
      <c r="E62" s="5" t="inlineStr">
        <is>
          <t>Story</t>
        </is>
      </c>
      <c r="F62" s="5" t="inlineStr">
        <is>
          <t>Import depuis une année clôturée avec aperçu</t>
        </is>
      </c>
      <c r="G62" s="5" t="inlineStr">
        <is>
          <t>POST /annees/{id}/import : sélection par type de donnée, dryRun puis confirmation, idempotent par originId.</t>
        </is>
      </c>
      <c r="H62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2" s="5" t="inlineStr">
        <is>
          <t>EX-IMP-02</t>
        </is>
      </c>
      <c r="J62" s="5" t="inlineStr">
        <is>
          <t>§4.9, §3.4.16</t>
        </is>
      </c>
      <c r="K62" s="5" t="inlineStr">
        <is>
          <t>BACK</t>
        </is>
      </c>
      <c r="L62" s="5" t="inlineStr">
        <is>
          <t>Must</t>
        </is>
      </c>
      <c r="M62" s="5" t="n">
        <v>8</v>
      </c>
      <c r="N62" s="5" t="inlineStr">
        <is>
          <t>L1-10, L1-15, L1-04, L1-22, L1-17</t>
        </is>
      </c>
      <c r="O62" s="5" t="inlineStr">
        <is>
          <t>À faire</t>
        </is>
      </c>
      <c r="P62" s="5" t="inlineStr"/>
    </row>
    <row r="63">
      <c r="A63" s="5" t="inlineStr">
        <is>
          <t>L1-25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UI import depuis une année clôturée</t>
        </is>
      </c>
      <c r="G63" s="5" t="inlineStr">
        <is>
          <t>Assistant de choix des types de données, aperçu détaillé, confirmation.</t>
        </is>
      </c>
      <c r="H63" s="5" t="inlineStr">
        <is>
          <t>- Le résumé des copies, conflits et avertissements est affiché avant confirmation
- L'opération est transactionnelle</t>
        </is>
      </c>
      <c r="I63" s="5" t="inlineStr">
        <is>
          <t>EX-IMP-02</t>
        </is>
      </c>
      <c r="J63" s="5" t="inlineStr">
        <is>
          <t>§3.4.16</t>
        </is>
      </c>
      <c r="K63" s="5" t="inlineStr">
        <is>
          <t>FRONT</t>
        </is>
      </c>
      <c r="L63" s="5" t="inlineStr">
        <is>
          <t>Should</t>
        </is>
      </c>
      <c r="M63" s="5" t="n">
        <v>3</v>
      </c>
      <c r="N63" s="5" t="inlineStr">
        <is>
          <t>L1-24, L0-28</t>
        </is>
      </c>
      <c r="O63" s="5" t="inlineStr">
        <is>
          <t>À faire</t>
        </is>
      </c>
      <c r="P63" s="5" t="inlineStr"/>
    </row>
    <row r="64">
      <c r="A64" s="5" t="inlineStr">
        <is>
          <t>L1-26</t>
        </is>
      </c>
      <c r="B64" s="5" t="inlineStr">
        <is>
          <t>L1</t>
        </is>
      </c>
      <c r="C64" s="5" t="inlineStr">
        <is>
          <t>E1.8</t>
        </is>
      </c>
      <c r="D64" s="5" t="inlineStr">
        <is>
          <t>Imports CSV/XLSX</t>
        </is>
      </c>
      <c r="E64" s="5" t="inlineStr">
        <is>
          <t>Story</t>
        </is>
      </c>
      <c r="F64" s="5" t="inlineStr">
        <is>
          <t>Import CSV/XLSX avec simulation et impact</t>
        </is>
      </c>
      <c r="G64" s="5" t="inlineStr">
        <is>
          <t>POST /imports/{entite}?dryRun=true pour enseignants, salles, groupes, modules ; analyse d'impact sur les répartitions validées.</t>
        </is>
      </c>
      <c r="H64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4" s="5" t="inlineStr">
        <is>
          <t>EX-IMP-01, EX-IMP-03</t>
        </is>
      </c>
      <c r="J64" s="5" t="inlineStr">
        <is>
          <t>§4.9, §5.3</t>
        </is>
      </c>
      <c r="K64" s="5" t="inlineStr">
        <is>
          <t>BACK</t>
        </is>
      </c>
      <c r="L64" s="5" t="inlineStr">
        <is>
          <t>Should</t>
        </is>
      </c>
      <c r="M64" s="5" t="n">
        <v>8</v>
      </c>
      <c r="N64" s="5" t="inlineStr">
        <is>
          <t>L1-10, L1-13, L1-04, L1-05, L1-07</t>
        </is>
      </c>
      <c r="O64" s="5" t="inlineStr">
        <is>
          <t>À faire</t>
        </is>
      </c>
      <c r="P64" s="5" t="inlineStr"/>
    </row>
    <row r="65">
      <c r="A65" s="5" t="inlineStr">
        <is>
          <t>L1-27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UI import</t>
        </is>
      </c>
      <c r="G65" s="5" t="inlineStr">
        <is>
          <t>Dépôt de fichier, rapport d'erreurs, impacts, confirmation.</t>
        </is>
      </c>
      <c r="H65" s="5" t="inlineStr">
        <is>
          <t>- Le rapport de simulation est lisible avant confirmation
- Fichier invalide rejeté avec message explicite
- Les impacts sur les données validées sont affichés</t>
        </is>
      </c>
      <c r="I65" s="5" t="inlineStr">
        <is>
          <t>EX-IMP-01, EX-IMP-03</t>
        </is>
      </c>
      <c r="J65" s="5" t="inlineStr">
        <is>
          <t>§3.3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L1-26, L0-28</t>
        </is>
      </c>
      <c r="O65" s="5" t="inlineStr">
        <is>
          <t>À faire</t>
        </is>
      </c>
      <c r="P65" s="5" t="inlineStr"/>
    </row>
    <row r="66">
      <c r="A66" s="5" t="inlineStr">
        <is>
          <t>L2-01</t>
        </is>
      </c>
      <c r="B66" s="5" t="inlineStr">
        <is>
          <t>L2</t>
        </is>
      </c>
      <c r="C66" s="5" t="inlineStr">
        <is>
          <t>E2.1</t>
        </is>
      </c>
      <c r="D66" s="5" t="inlineStr">
        <is>
          <t>Volumes prévus (maquette)</t>
        </is>
      </c>
      <c r="E66" s="5" t="inlineStr">
        <is>
          <t>Story</t>
        </is>
      </c>
      <c r="F66" s="5" t="inlineStr">
        <is>
          <t>Volumes prévus par (module, type)</t>
        </is>
      </c>
      <c r="G66" s="5" t="inlineStr">
        <is>
          <t>CRUD /modules/{id}/volumes (ModuleVolume).</t>
        </is>
      </c>
      <c r="H66" s="5" t="inlineStr">
        <is>
          <t>- Unicité (module, type)
- Écriture par l'Administrateur et le Responsable de son département
- Volume en minutes multiple de 30</t>
        </is>
      </c>
      <c r="I66" s="5" t="inlineStr">
        <is>
          <t>EX-REF-01</t>
        </is>
      </c>
      <c r="J66" s="5" t="inlineStr">
        <is>
          <t>§2.2, §3.3</t>
        </is>
      </c>
      <c r="K66" s="5" t="inlineStr">
        <is>
          <t>BACK</t>
        </is>
      </c>
      <c r="L66" s="5" t="inlineStr">
        <is>
          <t>Must</t>
        </is>
      </c>
      <c r="M66" s="5" t="n">
        <v>3</v>
      </c>
      <c r="N66" s="5" t="inlineStr">
        <is>
          <t>L1-05, L1-17</t>
        </is>
      </c>
      <c r="O66" s="5" t="inlineStr">
        <is>
          <t>À faire</t>
        </is>
      </c>
      <c r="P66" s="5" t="inlineStr"/>
    </row>
    <row r="67">
      <c r="A67" s="5" t="inlineStr">
        <is>
          <t>L2-02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UI maquette pédagogique</t>
        </is>
      </c>
      <c r="G67" s="5" t="inlineStr">
        <is>
          <t>Saisie des volumes par module et type, import possible.</t>
        </is>
      </c>
      <c r="H67" s="5" t="inlineStr">
        <is>
          <t>- Tableau éditable par niveau
- Les volumes non multiples de 30 minutes sont signalés</t>
        </is>
      </c>
      <c r="I67" s="5" t="inlineStr">
        <is>
          <t>EX-REF-01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Must</t>
        </is>
      </c>
      <c r="M67" s="5" t="n">
        <v>3</v>
      </c>
      <c r="N67" s="5" t="inlineStr">
        <is>
          <t>L2-01, L0-28</t>
        </is>
      </c>
      <c r="O67" s="5" t="inlineStr">
        <is>
          <t>À faire</t>
        </is>
      </c>
      <c r="P67" s="5" t="inlineStr"/>
    </row>
    <row r="68">
      <c r="A68" s="5" t="inlineStr">
        <is>
          <t>L2-03</t>
        </is>
      </c>
      <c r="B68" s="5" t="inlineStr">
        <is>
          <t>L2</t>
        </is>
      </c>
      <c r="C68" s="5" t="inlineStr">
        <is>
          <t>E2.2</t>
        </is>
      </c>
      <c r="D68" s="5" t="inlineStr">
        <is>
          <t>Charge paramétrable</t>
        </is>
      </c>
      <c r="E68" s="5" t="inlineStr">
        <is>
          <t>Story</t>
        </is>
      </c>
      <c r="F68" s="5" t="inlineStr">
        <is>
          <t>Jeux de règles de charge et publication immuable</t>
        </is>
      </c>
      <c r="G68" s="5" t="inlineStr">
        <is>
          <t>ChargeRuleSet, ChargeReferenceGrade, ChargeCoefficient (grade facultatif), publication.</t>
        </is>
      </c>
      <c r="H68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8" s="5" t="inlineStr">
        <is>
          <t>EX-CHG-01</t>
        </is>
      </c>
      <c r="J68" s="5" t="inlineStr">
        <is>
          <t>§2.2, §2.4, §4.2</t>
        </is>
      </c>
      <c r="K68" s="5" t="inlineStr">
        <is>
          <t>BACK</t>
        </is>
      </c>
      <c r="L68" s="5" t="inlineStr">
        <is>
          <t>Must</t>
        </is>
      </c>
      <c r="M68" s="5" t="n">
        <v>8</v>
      </c>
      <c r="N68" s="5" t="inlineStr">
        <is>
          <t>L1-05, L0-22</t>
        </is>
      </c>
      <c r="O68" s="5" t="inlineStr">
        <is>
          <t>À faire</t>
        </is>
      </c>
      <c r="P68" s="5" t="inlineStr"/>
    </row>
    <row r="69">
      <c r="A69" s="5" t="inlineStr">
        <is>
          <t>L2-04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Moteur de calcul de la charge (charge-engine)</t>
        </is>
      </c>
      <c r="G69" s="5" t="inlineStr">
        <is>
          <t>Fonction pure calculerCharge en Decimal : volume brut, charge calculée, charge de référence, service dû, écart, heures supplémentaires.</t>
        </is>
      </c>
      <c r="H69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69" s="5" t="inlineStr">
        <is>
          <t>EX-CHG-02, EX-CHG-05, EX-ACT-03</t>
        </is>
      </c>
      <c r="J69" s="5" t="inlineStr">
        <is>
          <t>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L0-03</t>
        </is>
      </c>
      <c r="O69" s="5" t="inlineStr">
        <is>
          <t>À faire</t>
        </is>
      </c>
      <c r="P69" s="5" t="inlineStr"/>
    </row>
    <row r="70">
      <c r="A70" s="5" t="inlineStr">
        <is>
          <t>L2-05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UI paramétrage de la charge</t>
        </is>
      </c>
      <c r="G70" s="5" t="inlineStr">
        <is>
          <t>Édition d'un jeu de règles, publication, création du suivant, affectation à l'année.</t>
        </is>
      </c>
      <c r="H70" s="5" t="inlineStr">
        <is>
          <t>- Édition impossible après publication
- Affectation du jeu à l'année (garde d'activation)
- Vocabulaire « charge » partout, aucun « DU »</t>
        </is>
      </c>
      <c r="I70" s="5" t="inlineStr">
        <is>
          <t>EX-CHG-01</t>
        </is>
      </c>
      <c r="J70" s="5" t="inlineStr">
        <is>
          <t>§4.2</t>
        </is>
      </c>
      <c r="K70" s="5" t="inlineStr">
        <is>
          <t>FRONT</t>
        </is>
      </c>
      <c r="L70" s="5" t="inlineStr">
        <is>
          <t>Must</t>
        </is>
      </c>
      <c r="M70" s="5" t="n">
        <v>5</v>
      </c>
      <c r="N70" s="5" t="inlineStr">
        <is>
          <t>L2-03, L0-28</t>
        </is>
      </c>
      <c r="O70" s="5" t="inlineStr">
        <is>
          <t>À faire</t>
        </is>
      </c>
      <c r="P70" s="5" t="inlineStr"/>
    </row>
    <row r="71">
      <c r="A71" s="5" t="inlineStr">
        <is>
          <t>L2-06</t>
        </is>
      </c>
      <c r="B71" s="5" t="inlineStr">
        <is>
          <t>L2</t>
        </is>
      </c>
      <c r="C71" s="5" t="inlineStr">
        <is>
          <t>E2.3</t>
        </is>
      </c>
      <c r="D71" s="5" t="inlineStr">
        <is>
          <t>Saisie de la répartition</t>
        </is>
      </c>
      <c r="E71" s="5" t="inlineStr">
        <is>
          <t>Story</t>
        </is>
      </c>
      <c r="F71" s="5" t="inlineStr">
        <is>
          <t>Répartitions par département et semestre</t>
        </is>
      </c>
      <c r="G71" s="5" t="inlineStr">
        <is>
          <t>Une répartition par (semestre, département), statuts BROUILLON, VALIDEE, ROUVERTE.</t>
        </is>
      </c>
      <c r="H71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1" s="5" t="inlineStr">
        <is>
          <t>EX-REP-01</t>
        </is>
      </c>
      <c r="J71" s="5" t="inlineStr">
        <is>
          <t>§4.1.2, §3.3</t>
        </is>
      </c>
      <c r="K71" s="5" t="inlineStr">
        <is>
          <t>BACK</t>
        </is>
      </c>
      <c r="L71" s="5" t="inlineStr">
        <is>
          <t>Must</t>
        </is>
      </c>
      <c r="M71" s="5" t="n">
        <v>3</v>
      </c>
      <c r="N71" s="5" t="inlineStr">
        <is>
          <t>L1-01, L0-19</t>
        </is>
      </c>
      <c r="O71" s="5" t="inlineStr">
        <is>
          <t>À faire</t>
        </is>
      </c>
      <c r="P71" s="5" t="inlineStr"/>
    </row>
    <row r="72">
      <c r="A72" s="5" t="inlineStr">
        <is>
          <t>L2-07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CRUD affectations</t>
        </is>
      </c>
      <c r="G72" s="5" t="inlineStr">
        <is>
          <t>POST/PATCH/DELETE /repartitions/{id}/affectations ; activité à un seul enseignant, séances par semaine, durée contiguë, CM commun, Activity Tag facultatif.</t>
        </is>
      </c>
      <c r="H72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2" s="5" t="inlineStr">
        <is>
          <t>EX-REP-01, EX-ACT-01, EX-ACT-02, EX-ACT-03, EX-ROL-03</t>
        </is>
      </c>
      <c r="J72" s="5" t="inlineStr">
        <is>
          <t>§3.4.2, §0.3</t>
        </is>
      </c>
      <c r="K72" s="5" t="inlineStr">
        <is>
          <t>BACK</t>
        </is>
      </c>
      <c r="L72" s="5" t="inlineStr">
        <is>
          <t>Must</t>
        </is>
      </c>
      <c r="M72" s="5" t="n">
        <v>8</v>
      </c>
      <c r="N72" s="5" t="inlineStr">
        <is>
          <t>L2-06, L1-10, L2-01, L2-04, L1-06</t>
        </is>
      </c>
      <c r="O72" s="5" t="inlineStr">
        <is>
          <t>À faire</t>
        </is>
      </c>
      <c r="P72" s="5" t="inlineStr"/>
    </row>
    <row r="73">
      <c r="A73" s="5" t="inlineStr">
        <is>
          <t>L2-08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UI saisie de la répartition</t>
        </is>
      </c>
      <c r="G73" s="5" t="inlineStr">
        <is>
          <t>Tableau par groupe, module et type avec charges visibles en temps réel.</t>
        </is>
      </c>
      <c r="H73" s="5" t="inlineStr">
        <is>
          <t>- Ajout d'une affectation met à jour la charge de l'enseignant
- Les écarts de volume sont visibles pendant la saisie
- Le Responsable fixe l'Activity Tag d'une affectation</t>
        </is>
      </c>
      <c r="I73" s="5" t="inlineStr">
        <is>
          <t>EX-REP-01, EX-CHG-03</t>
        </is>
      </c>
      <c r="J73" s="5" t="inlineStr">
        <is>
          <t>§4.2</t>
        </is>
      </c>
      <c r="K73" s="5" t="inlineStr">
        <is>
          <t>FRONT</t>
        </is>
      </c>
      <c r="L73" s="5" t="inlineStr">
        <is>
          <t>Must</t>
        </is>
      </c>
      <c r="M73" s="5" t="n">
        <v>8</v>
      </c>
      <c r="N73" s="5" t="inlineStr">
        <is>
          <t>L2-07, L0-28</t>
        </is>
      </c>
      <c r="O73" s="5" t="inlineStr">
        <is>
          <t>À faire</t>
        </is>
      </c>
      <c r="P73" s="5" t="inlineStr"/>
    </row>
    <row r="74">
      <c r="A74" s="5" t="inlineStr">
        <is>
          <t>L2-09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Contrôles de cohérence des volumes</t>
        </is>
      </c>
      <c r="G74" s="5" t="inlineStr">
        <is>
          <t>GET /repartitions/{id}/controles.</t>
        </is>
      </c>
      <c r="H74" s="5" t="inlineStr">
        <is>
          <t>- Écart par (groupe, module, type) = volume attendu − somme des affectations
- Écarts négatifs « non couvert », positifs « excédent »</t>
        </is>
      </c>
      <c r="I74" s="5" t="inlineStr">
        <is>
          <t>EX-REP-02</t>
        </is>
      </c>
      <c r="J74" s="5" t="inlineStr">
        <is>
          <t>§4.2</t>
        </is>
      </c>
      <c r="K74" s="5" t="inlineStr">
        <is>
          <t>BACK</t>
        </is>
      </c>
      <c r="L74" s="5" t="inlineStr">
        <is>
          <t>Must</t>
        </is>
      </c>
      <c r="M74" s="5" t="n">
        <v>5</v>
      </c>
      <c r="N74" s="5" t="inlineStr">
        <is>
          <t>L2-07</t>
        </is>
      </c>
      <c r="O74" s="5" t="inlineStr">
        <is>
          <t>À faire</t>
        </is>
      </c>
      <c r="P74" s="5" t="inlineStr"/>
    </row>
    <row r="75">
      <c r="A75" s="5" t="inlineStr">
        <is>
          <t>L2-10</t>
        </is>
      </c>
      <c r="B75" s="5" t="inlineStr">
        <is>
          <t>L2</t>
        </is>
      </c>
      <c r="C75" s="5" t="inlineStr">
        <is>
          <t>E2.4</t>
        </is>
      </c>
      <c r="D75" s="5" t="inlineStr">
        <is>
          <t>Charges</t>
        </is>
      </c>
      <c r="E75" s="5" t="inlineStr">
        <is>
          <t>Story</t>
        </is>
      </c>
      <c r="F75" s="5" t="inlineStr">
        <is>
          <t>API des charges et agrégations</t>
        </is>
      </c>
      <c r="G75" s="5" t="inlineStr">
        <is>
          <t>GET /charges par enseignant, département, formation, module, groupe, type.</t>
        </is>
      </c>
      <c r="H75" s="5" t="inlineStr">
        <is>
          <t>- Volumes bruts et pondérés retournés
- Calcul partiel signalé si un semestre n'a pas de répartition validée
- Temps de calcul d'un département &lt; 500 ms</t>
        </is>
      </c>
      <c r="I75" s="5" t="inlineStr">
        <is>
          <t>EX-CHG-03</t>
        </is>
      </c>
      <c r="J75" s="5" t="inlineStr">
        <is>
          <t>§4.2, §5.4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L2-11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UI tableau de bord des charges</t>
        </is>
      </c>
      <c r="G76" s="5" t="inlineStr">
        <is>
          <t>Charge de référence, service dû, écart, heures supplémentaires, dépassement de plafond.</t>
        </is>
      </c>
      <c r="H76" s="5" t="inlineStr">
        <is>
          <t>- Dépassement de plafond mis en évidence
- Filtres département et enseignant
- Libellés : dépassement de X h ou reste X h à affecter</t>
        </is>
      </c>
      <c r="I76" s="5" t="inlineStr">
        <is>
          <t>EX-CHG-03</t>
        </is>
      </c>
      <c r="J76" s="5" t="inlineStr">
        <is>
          <t>§4.2</t>
        </is>
      </c>
      <c r="K76" s="5" t="inlineStr">
        <is>
          <t>FRONT</t>
        </is>
      </c>
      <c r="L76" s="5" t="inlineStr">
        <is>
          <t>Must</t>
        </is>
      </c>
      <c r="M76" s="5" t="n">
        <v>5</v>
      </c>
      <c r="N76" s="5" t="inlineStr">
        <is>
          <t>L2-10, L0-28</t>
        </is>
      </c>
      <c r="O76" s="5" t="inlineStr">
        <is>
          <t>À faire</t>
        </is>
      </c>
      <c r="P76" s="5" t="inlineStr"/>
    </row>
    <row r="77">
      <c r="A77" s="5" t="inlineStr">
        <is>
          <t>L2-12</t>
        </is>
      </c>
      <c r="B77" s="5" t="inlineStr">
        <is>
          <t>L2</t>
        </is>
      </c>
      <c r="C77" s="5" t="inlineStr">
        <is>
          <t>E2.5</t>
        </is>
      </c>
      <c r="D77" s="5" t="inlineStr">
        <is>
          <t>Validation &amp; snapshots</t>
        </is>
      </c>
      <c r="E77" s="5" t="inlineStr">
        <is>
          <t>Story</t>
        </is>
      </c>
      <c r="F77" s="5" t="inlineStr">
        <is>
          <t>Validation de la répartition et snapshot</t>
        </is>
      </c>
      <c r="G77" s="5" t="inlineStr">
        <is>
          <t>POST /repartitions/{id}/validate ; validation par le Responsable ou par l'Administrateur pour un département.</t>
        </is>
      </c>
      <c r="H77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7" s="5" t="inlineStr">
        <is>
          <t>EX-REP-03, EX-ROL-06, EX-CHG-05</t>
        </is>
      </c>
      <c r="J77" s="5" t="inlineStr">
        <is>
          <t>§3.4.3, §4.1.2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L2-09, L2-10, L2-03, L0-21</t>
        </is>
      </c>
      <c r="O77" s="5" t="inlineStr">
        <is>
          <t>À faire</t>
        </is>
      </c>
      <c r="P77" s="5" t="inlineStr"/>
    </row>
    <row r="78">
      <c r="A78" s="5" t="inlineStr">
        <is>
          <t>L2-13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Réouverture et indicateur de divergence</t>
        </is>
      </c>
      <c r="G78" s="5" t="inlineStr">
        <is>
          <t>POST /repartitions/{id}/reopen.</t>
        </is>
      </c>
      <c r="H78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8" s="5" t="inlineStr">
        <is>
          <t>EX-REP-04</t>
        </is>
      </c>
      <c r="J78" s="5" t="inlineStr">
        <is>
          <t>§4.1.2, §3.4.3</t>
        </is>
      </c>
      <c r="K78" s="5" t="inlineStr">
        <is>
          <t>BACK</t>
        </is>
      </c>
      <c r="L78" s="5" t="inlineStr">
        <is>
          <t>Must</t>
        </is>
      </c>
      <c r="M78" s="5" t="n">
        <v>3</v>
      </c>
      <c r="N78" s="5" t="inlineStr">
        <is>
          <t>L2-12</t>
        </is>
      </c>
      <c r="O78" s="5" t="inlineStr">
        <is>
          <t>À faire</t>
        </is>
      </c>
      <c r="P78" s="5" t="inlineStr"/>
    </row>
    <row r="79">
      <c r="A79" s="5" t="inlineStr">
        <is>
          <t>L2-14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Historique et consultation des snapshots</t>
        </is>
      </c>
      <c r="G79" s="5" t="inlineStr">
        <is>
          <t>API et écran de consultation en lecture seule.</t>
        </is>
      </c>
      <c r="H79" s="5" t="inlineStr">
        <is>
          <t>- Liste des révisions avec auteur, date et mention éventuelle « validé par l'Administrateur »
- Consultation d'un snapshot en lecture seule</t>
        </is>
      </c>
      <c r="I79" s="5" t="inlineStr">
        <is>
          <t>EX-REP-03</t>
        </is>
      </c>
      <c r="J79" s="5" t="inlineStr">
        <is>
          <t>§3.3</t>
        </is>
      </c>
      <c r="K79" s="5" t="inlineStr">
        <is>
          <t>FULL</t>
        </is>
      </c>
      <c r="L79" s="5" t="inlineStr">
        <is>
          <t>Should</t>
        </is>
      </c>
      <c r="M79" s="5" t="n">
        <v>3</v>
      </c>
      <c r="N79" s="5" t="inlineStr">
        <is>
          <t>L2-12, L0-28</t>
        </is>
      </c>
      <c r="O79" s="5" t="inlineStr">
        <is>
          <t>À faire</t>
        </is>
      </c>
      <c r="P79" s="5" t="inlineStr"/>
    </row>
    <row r="80">
      <c r="A80" s="5" t="inlineStr">
        <is>
          <t>L2-15</t>
        </is>
      </c>
      <c r="B80" s="5" t="inlineStr">
        <is>
          <t>L2</t>
        </is>
      </c>
      <c r="C80" s="5" t="inlineStr">
        <is>
          <t>E2.6</t>
        </is>
      </c>
      <c r="D80" s="5" t="inlineStr">
        <is>
          <t>Demandes de modification</t>
        </is>
      </c>
      <c r="E80" s="5" t="inlineStr">
        <is>
          <t>Story</t>
        </is>
      </c>
      <c r="F80" s="5" t="inlineStr">
        <is>
          <t>Demandes de modification (API)</t>
        </is>
      </c>
      <c r="G80" s="5" t="inlineStr">
        <is>
          <t>Création par le Gestionnaire, traitement par le Responsable.</t>
        </is>
      </c>
      <c r="H80" s="5" t="inlineStr">
        <is>
          <t>- Statuts OUVERTE, TRAITEE, REFUSEE avec réponse
- Le Responsable ne voit que son département
- Demande liée à une affectation ou une séance</t>
        </is>
      </c>
      <c r="I80" s="5" t="inlineStr">
        <is>
          <t>EX-REP-05, EX-ROL-05</t>
        </is>
      </c>
      <c r="J80" s="5" t="inlineStr">
        <is>
          <t>§3.3</t>
        </is>
      </c>
      <c r="K80" s="5" t="inlineStr">
        <is>
          <t>BACK</t>
        </is>
      </c>
      <c r="L80" s="5" t="inlineStr">
        <is>
          <t>Must</t>
        </is>
      </c>
      <c r="M80" s="5" t="n">
        <v>5</v>
      </c>
      <c r="N80" s="5" t="inlineStr">
        <is>
          <t>L2-06</t>
        </is>
      </c>
      <c r="O80" s="5" t="inlineStr">
        <is>
          <t>À faire</t>
        </is>
      </c>
      <c r="P80" s="5" t="inlineStr"/>
    </row>
    <row r="81">
      <c r="A81" s="5" t="inlineStr">
        <is>
          <t>L2-16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UI demandes de modification</t>
        </is>
      </c>
      <c r="G81" s="5" t="inlineStr">
        <is>
          <t>Création, suivi et traitement.</t>
        </is>
      </c>
      <c r="H81" s="5" t="inlineStr">
        <is>
          <t>- Le Gestionnaire crée une demande depuis une affectation
- Le Responsable la traite avec motif</t>
        </is>
      </c>
      <c r="I81" s="5" t="inlineStr">
        <is>
          <t>EX-REP-05</t>
        </is>
      </c>
      <c r="J81" s="5" t="inlineStr">
        <is>
          <t>§3.3</t>
        </is>
      </c>
      <c r="K81" s="5" t="inlineStr">
        <is>
          <t>FRONT</t>
        </is>
      </c>
      <c r="L81" s="5" t="inlineStr">
        <is>
          <t>Must</t>
        </is>
      </c>
      <c r="M81" s="5" t="n">
        <v>3</v>
      </c>
      <c r="N81" s="5" t="inlineStr">
        <is>
          <t>L2-15, L0-28</t>
        </is>
      </c>
      <c r="O81" s="5" t="inlineStr">
        <is>
          <t>À faire</t>
        </is>
      </c>
      <c r="P81" s="5" t="inlineStr"/>
    </row>
    <row r="82">
      <c r="A82" s="5" t="inlineStr">
        <is>
          <t>L2-17</t>
        </is>
      </c>
      <c r="B82" s="5" t="inlineStr">
        <is>
          <t>L2</t>
        </is>
      </c>
      <c r="C82" s="5" t="inlineStr">
        <is>
          <t>E2.7</t>
        </is>
      </c>
      <c r="D82" s="5" t="inlineStr">
        <is>
          <t>Vue annuelle des charges</t>
        </is>
      </c>
      <c r="E82" s="5" t="inlineStr">
        <is>
          <t>Story</t>
        </is>
      </c>
      <c r="F82" s="5" t="inlineStr">
        <is>
          <t>API de la vue annuelle des charges (S1 + S2)</t>
        </is>
      </c>
      <c r="G82" s="5" t="inlineStr">
        <is>
          <t>GET /charges/annuelles : cumul des deux semestres indépendant de la période du jeu de règles.</t>
        </is>
      </c>
      <c r="H82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2" s="5" t="inlineStr">
        <is>
          <t>EX-CHG-04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L2-10</t>
        </is>
      </c>
      <c r="O82" s="5" t="inlineStr">
        <is>
          <t>À faire</t>
        </is>
      </c>
      <c r="P82" s="5" t="inlineStr"/>
    </row>
    <row r="83">
      <c r="A83" s="5" t="inlineStr">
        <is>
          <t>L2-18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Charge globale d'un enseignant multi-départements</t>
        </is>
      </c>
      <c r="G83" s="5" t="inlineStr">
        <is>
          <t>GET /enseignants/{id}/charge-globale : total toutes affectations confondues, sans détail hors département.</t>
        </is>
      </c>
      <c r="H83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3" s="5" t="inlineStr">
        <is>
          <t>EX-ROL-07</t>
        </is>
      </c>
      <c r="J83" s="5" t="inlineStr">
        <is>
          <t>§4.2, §5.2</t>
        </is>
      </c>
      <c r="K83" s="5" t="inlineStr">
        <is>
          <t>BACK</t>
        </is>
      </c>
      <c r="L83" s="5" t="inlineStr">
        <is>
          <t>Must</t>
        </is>
      </c>
      <c r="M83" s="5" t="n">
        <v>3</v>
      </c>
      <c r="N83" s="5" t="inlineStr">
        <is>
          <t>L2-17</t>
        </is>
      </c>
      <c r="O83" s="5" t="inlineStr">
        <is>
          <t>À faire</t>
        </is>
      </c>
      <c r="P83" s="5" t="inlineStr"/>
    </row>
    <row r="84">
      <c r="A84" s="5" t="inlineStr">
        <is>
          <t>L2-19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UI vue annuelle des charges par enseignant</t>
        </is>
      </c>
      <c r="G84" s="5" t="inlineStr">
        <is>
          <t>Tableau S1, S2, total, service dû, écart, alertes, accessible depuis la saisie de la répartition.</t>
        </is>
      </c>
      <c r="H84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4" s="5" t="inlineStr">
        <is>
          <t>EX-CHG-04, EX-ROL-07</t>
        </is>
      </c>
      <c r="J84" s="5" t="inlineStr">
        <is>
          <t>§3.3</t>
        </is>
      </c>
      <c r="K84" s="5" t="inlineStr">
        <is>
          <t>FRONT</t>
        </is>
      </c>
      <c r="L84" s="5" t="inlineStr">
        <is>
          <t>Must</t>
        </is>
      </c>
      <c r="M84" s="5" t="n">
        <v>3</v>
      </c>
      <c r="N84" s="5" t="inlineStr">
        <is>
          <t>L2-17, L2-18, L0-28</t>
        </is>
      </c>
      <c r="O84" s="5" t="inlineStr">
        <is>
          <t>À faire</t>
        </is>
      </c>
      <c r="P84" s="5" t="inlineStr"/>
    </row>
    <row r="85">
      <c r="A85" s="5" t="inlineStr">
        <is>
          <t>L3-01</t>
        </is>
      </c>
      <c r="B85" s="5" t="inlineStr">
        <is>
          <t>L3</t>
        </is>
      </c>
      <c r="C85" s="5" t="inlineStr">
        <is>
          <t>E3.1</t>
        </is>
      </c>
      <c r="D85" s="5" t="inlineStr">
        <is>
          <t>Contraintes</t>
        </is>
      </c>
      <c r="E85" s="5" t="inlineStr">
        <is>
          <t>Story</t>
        </is>
      </c>
      <c r="F85" s="5" t="inlineStr">
        <is>
          <t>Catalogue de contraintes et règles centralisées</t>
        </is>
      </c>
      <c r="G85" s="5" t="inlineStr">
        <is>
          <t>ContrainteDefinition seedée (dures/souples, portée, fetSupport, message), moteur de règles unique alimentant génération, contrôles et édition.</t>
        </is>
      </c>
      <c r="H85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5" s="5" t="inlineStr">
        <is>
          <t>EX-CTR-01, EX-PRI-06</t>
        </is>
      </c>
      <c r="J85" s="5" t="inlineStr">
        <is>
          <t>§2.2, §4.11</t>
        </is>
      </c>
      <c r="K85" s="5" t="inlineStr">
        <is>
          <t>BACK</t>
        </is>
      </c>
      <c r="L85" s="5" t="inlineStr">
        <is>
          <t>Must</t>
        </is>
      </c>
      <c r="M85" s="5" t="n">
        <v>5</v>
      </c>
      <c r="N85" s="5" t="inlineStr">
        <is>
          <t>L0-04</t>
        </is>
      </c>
      <c r="O85" s="5" t="inlineStr">
        <is>
          <t>À faire</t>
        </is>
      </c>
      <c r="P85" s="5" t="inlineStr"/>
    </row>
    <row r="86">
      <c r="A86" s="5" t="inlineStr">
        <is>
          <t>L3-02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Classification des règles et matrice de traduction</t>
        </is>
      </c>
      <c r="G86" s="5" t="inlineStr">
        <is>
          <t>Classement HARD_CONSTRAINT, SOFT_CONSTRAINT, BUSINESS_VALIDATION, INFORMATIONAL et FET_SUPPORTED, FET_TRANSFORMED, APPLICATION_ONLY ; matrice de traduction.</t>
        </is>
      </c>
      <c r="H86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6" s="5" t="inlineStr">
        <is>
          <t>EX-CTR-06, EX-PRI-02</t>
        </is>
      </c>
      <c r="J86" s="5" t="inlineStr">
        <is>
          <t>§4.3, §4.6.3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L3-01</t>
        </is>
      </c>
      <c r="O86" s="5" t="inlineStr">
        <is>
          <t>À faire</t>
        </is>
      </c>
      <c r="P86" s="5" t="inlineStr"/>
    </row>
    <row r="87">
      <c r="A87" s="5" t="inlineStr">
        <is>
          <t>L3-03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Instances de contraintes</t>
        </is>
      </c>
      <c r="G87" s="5" t="inlineStr">
        <is>
          <t>CRUD /contraintes/instances par semestre.</t>
        </is>
      </c>
      <c r="H87" s="5" t="inlineStr">
        <is>
          <t>- Poids 0–100 (CHECK), null pour les dures
- Cible enseignant, groupe, salle ou module cohérente avec la portée
- Champs nature (REGLE ou VOEU) et commentaire</t>
        </is>
      </c>
      <c r="I87" s="5" t="inlineStr">
        <is>
          <t>EX-CTR-02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L3-01, L1-10, L1-04, L1-13</t>
        </is>
      </c>
      <c r="O87" s="5" t="inlineStr">
        <is>
          <t>À faire</t>
        </is>
      </c>
      <c r="P87" s="5" t="inlineStr"/>
    </row>
    <row r="88">
      <c r="A88" s="5" t="inlineStr">
        <is>
          <t>L3-04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UI contraintes</t>
        </is>
      </c>
      <c r="G88" s="5" t="inlineStr">
        <is>
          <t>Création et paramétrage des contraintes avec rapport de traduction FET en aperçu.</t>
        </is>
      </c>
      <c r="H88" s="5" t="inlineStr">
        <is>
          <t>- Le poids n'est saisissable que pour les contraintes souples
- L'aperçu fet-mapping est affiché (branché en L4)
- La nature de chaque contrainte (règle, préférence) est visible</t>
        </is>
      </c>
      <c r="I88" s="5" t="inlineStr">
        <is>
          <t>EX-CTR-02, EX-CTR-06</t>
        </is>
      </c>
      <c r="J88" s="5" t="inlineStr">
        <is>
          <t>§3.3</t>
        </is>
      </c>
      <c r="K88" s="5" t="inlineStr">
        <is>
          <t>FRONT</t>
        </is>
      </c>
      <c r="L88" s="5" t="inlineStr">
        <is>
          <t>Should</t>
        </is>
      </c>
      <c r="M88" s="5" t="n">
        <v>5</v>
      </c>
      <c r="N88" s="5" t="inlineStr">
        <is>
          <t>L3-03, L0-28</t>
        </is>
      </c>
      <c r="O88" s="5" t="inlineStr">
        <is>
          <t>À faire</t>
        </is>
      </c>
      <c r="P88" s="5" t="inlineStr"/>
    </row>
    <row r="89">
      <c r="A89" s="5" t="inlineStr">
        <is>
          <t>L3-05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Catalogue des règles générales</t>
        </is>
      </c>
      <c r="G89" s="5" t="inlineStr">
        <is>
          <t>Heures par jour, heures continues, creux, jours par semaine, amplitude, intervalle.</t>
        </is>
      </c>
      <c r="H89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89" s="5" t="inlineStr">
        <is>
          <t>EX-CTR-02</t>
        </is>
      </c>
      <c r="J89" s="5" t="inlineStr">
        <is>
          <t>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</t>
        </is>
      </c>
      <c r="O89" s="5" t="inlineStr">
        <is>
          <t>À faire</t>
        </is>
      </c>
      <c r="P89" s="5" t="inlineStr"/>
    </row>
    <row r="90">
      <c r="A90" s="5" t="inlineStr">
        <is>
          <t>L3-06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Précédence et cohérence des règles</t>
        </is>
      </c>
      <c r="G90" s="5" t="inlineStr">
        <is>
          <t>Précédence entre instances globales et spécifiques, contrôle de cohérence.</t>
        </is>
      </c>
      <c r="H90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3</v>
      </c>
      <c r="N90" s="5" t="inlineStr">
        <is>
          <t>L3-03, L3-05</t>
        </is>
      </c>
      <c r="O90" s="5" t="inlineStr">
        <is>
          <t>À faire</t>
        </is>
      </c>
      <c r="P90" s="5" t="inlineStr"/>
    </row>
    <row r="91">
      <c r="A91" s="5" t="inlineStr">
        <is>
          <t>L3-07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Duplication des contraintes et vœux d'un semestre à l'autre</t>
        </is>
      </c>
      <c r="G91" s="5" t="inlineStr">
        <is>
          <t>POST /contraintes/duplicate {sourceSemestreId, cibleSemestreId, natures}.</t>
        </is>
      </c>
      <c r="H91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1" s="5" t="inlineStr">
        <is>
          <t>EX-CTR-03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Should</t>
        </is>
      </c>
      <c r="M91" s="5" t="n">
        <v>3</v>
      </c>
      <c r="N91" s="5" t="inlineStr">
        <is>
          <t>L3-03, L1-20</t>
        </is>
      </c>
      <c r="O91" s="5" t="inlineStr">
        <is>
          <t>À faire</t>
        </is>
      </c>
      <c r="P91" s="5" t="inlineStr"/>
    </row>
    <row r="92">
      <c r="A92" s="5" t="inlineStr">
        <is>
          <t>L3-08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Pauses fixes et fenêtres de pause</t>
        </is>
      </c>
      <c r="G92" s="5" t="inlineStr">
        <is>
          <t>Pauses fixes, créneaux bloqués, pause libre minimale dans une fenêtre (par exemple 30 minutes entre 12h00 et 14h00).</t>
        </is>
      </c>
      <c r="H92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2" s="5" t="inlineStr">
        <is>
          <t>EX-CTR-04</t>
        </is>
      </c>
      <c r="J92" s="5" t="inlineStr">
        <is>
          <t>§4.11, §4.3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L3-05, L1-17</t>
        </is>
      </c>
      <c r="O92" s="5" t="inlineStr">
        <is>
          <t>À faire</t>
        </is>
      </c>
      <c r="P92" s="5" t="inlineStr"/>
    </row>
    <row r="93">
      <c r="A93" s="5" t="inlineStr">
        <is>
          <t>L3-09</t>
        </is>
      </c>
      <c r="B93" s="5" t="inlineStr">
        <is>
          <t>L3</t>
        </is>
      </c>
      <c r="C93" s="5" t="inlineStr">
        <is>
          <t>E3.2</t>
        </is>
      </c>
      <c r="D93" s="5" t="inlineStr">
        <is>
          <t>Versions &amp; séances</t>
        </is>
      </c>
      <c r="E93" s="5" t="inlineStr">
        <is>
          <t>Story</t>
        </is>
      </c>
      <c r="F93" s="5" t="inlineStr">
        <is>
          <t>Création de version</t>
        </is>
      </c>
      <c r="G93" s="5" t="inlineStr">
        <is>
          <t>POST /versions, sélection des derniers snapshots validés, création des séances.</t>
        </is>
      </c>
      <c r="H93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3" s="5" t="inlineStr">
        <is>
          <t>EX-WFL-07</t>
        </is>
      </c>
      <c r="J93" s="5" t="inlineStr">
        <is>
          <t>§3.4.4, §0.3</t>
        </is>
      </c>
      <c r="K93" s="5" t="inlineStr">
        <is>
          <t>BACK</t>
        </is>
      </c>
      <c r="L93" s="5" t="inlineStr">
        <is>
          <t>Must</t>
        </is>
      </c>
      <c r="M93" s="5" t="n">
        <v>8</v>
      </c>
      <c r="N93" s="5" t="inlineStr">
        <is>
          <t>L2-12, L1-17</t>
        </is>
      </c>
      <c r="O93" s="5" t="inlineStr">
        <is>
          <t>À faire</t>
        </is>
      </c>
      <c r="P93" s="5" t="inlineStr"/>
    </row>
    <row r="94">
      <c r="A94" s="5" t="inlineStr">
        <is>
          <t>L3-10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Séances, occupations et immutabilité</t>
        </is>
      </c>
      <c r="G94" s="5" t="inlineStr">
        <is>
          <t>Modèle Seance, SeanceGroupe, Occupation, CHECK de placement, triggers d'immutabilité.</t>
        </is>
      </c>
      <c r="H94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4" s="5" t="inlineStr">
        <is>
          <t>EX-PRI-03</t>
        </is>
      </c>
      <c r="J94" s="5" t="inlineStr">
        <is>
          <t>§2.2, §2.4</t>
        </is>
      </c>
      <c r="K94" s="5" t="inlineStr">
        <is>
          <t>BACK</t>
        </is>
      </c>
      <c r="L94" s="5" t="inlineStr">
        <is>
          <t>Must</t>
        </is>
      </c>
      <c r="M94" s="5" t="n">
        <v>5</v>
      </c>
      <c r="N94" s="5" t="inlineStr">
        <is>
          <t>L3-09</t>
        </is>
      </c>
      <c r="O94" s="5" t="inlineStr">
        <is>
          <t>À faire</t>
        </is>
      </c>
      <c r="P94" s="5" t="inlineStr"/>
    </row>
    <row r="95">
      <c r="A95" s="5" t="inlineStr">
        <is>
          <t>L3-11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API de consultation des séances et versions</t>
        </is>
      </c>
      <c r="G95" s="5" t="inlineStr">
        <is>
          <t>GET /versions, /versions/{id}, /versions/{id}/seances, /seances/{id}.</t>
        </is>
      </c>
      <c r="H95" s="5" t="inlineStr">
        <is>
          <t>- Filtres jour, groupe, enseignant, salle
- ETag et If-None-Match
- Chargement d'une grille &lt; 500 ms
- La Direction ne voit que les versions publiées et archivées</t>
        </is>
      </c>
      <c r="I95" s="5" t="inlineStr">
        <is>
          <t>EX-NFR-04, EX-ROL-04</t>
        </is>
      </c>
      <c r="J95" s="5" t="inlineStr">
        <is>
          <t>§3.3, §5.4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L3-10</t>
        </is>
      </c>
      <c r="O95" s="5" t="inlineStr">
        <is>
          <t>À faire</t>
        </is>
      </c>
      <c r="P95" s="5" t="inlineStr"/>
    </row>
    <row r="96">
      <c r="A96" s="5" t="inlineStr">
        <is>
          <t>L3-12</t>
        </is>
      </c>
      <c r="B96" s="5" t="inlineStr">
        <is>
          <t>L3</t>
        </is>
      </c>
      <c r="C96" s="5" t="inlineStr">
        <is>
          <t>E3.3</t>
        </is>
      </c>
      <c r="D96" s="5" t="inlineStr">
        <is>
          <t>Conflict-engine</t>
        </is>
      </c>
      <c r="E96" s="5" t="inlineStr">
        <is>
          <t>Story</t>
        </is>
      </c>
      <c r="F96" s="5" t="inlineStr">
        <is>
          <t>Structures du conflict-engine</t>
        </is>
      </c>
      <c r="G96" s="5" t="inlineStr">
        <is>
          <t>OccupancyIndex, GroupeClosure, IndispoSet, Reqs, SnapshotIndex, VerrouIndex.</t>
        </is>
      </c>
      <c r="H96" s="5" t="inlineStr">
        <is>
          <t>- Paquet pur sans dépendance NestJS ni Prisma
- Construction en O(S)</t>
        </is>
      </c>
      <c r="I96" s="5" t="inlineStr">
        <is>
          <t>EX-EDI-02</t>
        </is>
      </c>
      <c r="J96" s="5" t="inlineStr">
        <is>
          <t>§4.3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L0-03</t>
        </is>
      </c>
      <c r="O96" s="5" t="inlineStr">
        <is>
          <t>À faire</t>
        </is>
      </c>
      <c r="P96" s="5" t="inlineStr"/>
    </row>
    <row r="97">
      <c r="A97" s="5" t="inlineStr">
        <is>
          <t>L3-13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Règles de collision</t>
        </is>
      </c>
      <c r="G97" s="5" t="inlineStr">
        <is>
          <t>TEACHER, ROOM, GROUP_DOUBLE_BOOKING et SLOT_SPANS_BREAK.</t>
        </is>
      </c>
      <c r="H97" s="5" t="inlineStr">
        <is>
          <t>- Un groupe est en conflit avec ses ancêtres et descendants
- Une séance qui franchit une pause ou la fin de journée est refusée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L3-12</t>
        </is>
      </c>
      <c r="O97" s="5" t="inlineStr">
        <is>
          <t>À faire</t>
        </is>
      </c>
      <c r="P97" s="5" t="inlineStr"/>
    </row>
    <row r="98">
      <c r="A98" s="5" t="inlineStr">
        <is>
          <t>L3-14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capacité, disponibilité et compatibilité</t>
        </is>
      </c>
      <c r="G98" s="5" t="inlineStr">
        <is>
          <t>ROOM_CAPACITY, ROOM_CAPACITY_RECOMMENDED, TEACHER/ROOM_UNAVAILABLE, ROOM_TAG_INCOMPATIBLE, ROOM_EQUIPMENT_MISSING, ROOM_NOT_ALLOWED.</t>
        </is>
      </c>
      <c r="H98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8" s="5" t="inlineStr">
        <is>
          <t>EX-EDI-02, EX-CTR-07, EX-CTR-08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L3-12, L1-15</t>
        </is>
      </c>
      <c r="O98" s="5" t="inlineStr">
        <is>
          <t>À faire</t>
        </is>
      </c>
      <c r="P98" s="5" t="inlineStr"/>
    </row>
    <row r="99">
      <c r="A99" s="5" t="inlineStr">
        <is>
          <t>L3-15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pédagogiques et de complétude</t>
        </is>
      </c>
      <c r="G99" s="5" t="inlineStr">
        <is>
          <t>TEACHER_NOT_IN_SNAPSHOT, SESSION_OVERPLANNED, SESSION_DURATION_MISMATCH, COVERAGE_INCOMPLETE, SESSION_UNPLACED.</t>
        </is>
      </c>
      <c r="H99" s="5" t="inlineStr">
        <is>
          <t>- Couverture exactement égale à 100 % requise (B7)
- Sur-planification = conflit bloquant</t>
        </is>
      </c>
      <c r="I99" s="5" t="inlineStr">
        <is>
          <t>EX-EDI-02, EX-EDI-05</t>
        </is>
      </c>
      <c r="J99" s="5" t="inlineStr">
        <is>
          <t>§4.3, §4.8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L3-16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Sévérités et signature des conflits</t>
        </is>
      </c>
      <c r="G100" s="5" t="inlineStr">
        <is>
          <t>Sévérité BLOQUANT, AVERTISSEMENT, INFORMATION par règle ; signature stable de chaque conflit.</t>
        </is>
      </c>
      <c r="H100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0" s="5" t="inlineStr">
        <is>
          <t>EX-CTR-07, EX-EDI-02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L3-14</t>
        </is>
      </c>
      <c r="O100" s="5" t="inlineStr">
        <is>
          <t>À faire</t>
        </is>
      </c>
      <c r="P100" s="5" t="inlineStr"/>
    </row>
    <row r="101">
      <c r="A101" s="5" t="inlineStr">
        <is>
          <t>L3-17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Recalcul incrémental et complet</t>
        </is>
      </c>
      <c r="G101" s="5" t="inlineStr">
        <is>
          <t>impactedSeances, conflits:recompute, persistance Conflit.</t>
        </is>
      </c>
      <c r="H101" s="5" t="inlineStr">
        <is>
          <t>- Le recalcul incrémental donne le même résultat que le recalcul complet
- Les conflits disparus reçoivent resoluLe
- conflits:recompute &lt; 2 s pour 4 000 séances</t>
        </is>
      </c>
      <c r="I101" s="5" t="inlineStr">
        <is>
          <t>EX-EDI-01, EX-NFR-04</t>
        </is>
      </c>
      <c r="J101" s="5" t="inlineStr">
        <is>
          <t>§4.3, §5.4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L3-13, L3-14, L3-15, L3-10, L3-16</t>
        </is>
      </c>
      <c r="O101" s="5" t="inlineStr">
        <is>
          <t>À faire</t>
        </is>
      </c>
      <c r="P101" s="5" t="inlineStr"/>
    </row>
    <row r="102">
      <c r="A102" s="5" t="inlineStr">
        <is>
          <t>L3-18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Test</t>
        </is>
      </c>
      <c r="F102" s="5" t="inlineStr">
        <is>
          <t>Tests par propriété du conflict-engine</t>
        </is>
      </c>
      <c r="G102" s="5" t="inlineStr">
        <is>
          <t>fast-check sur déplacements aléatoires.</t>
        </is>
      </c>
      <c r="H102" s="5" t="inlineStr">
        <is>
          <t>- Aucun déplacement accepté ne crée de double réservation
- Incrémental = complet sur des séquences aléatoires</t>
        </is>
      </c>
      <c r="I102" s="5" t="inlineStr">
        <is>
          <t>EX-NFR-07</t>
        </is>
      </c>
      <c r="J102" s="5" t="inlineStr">
        <is>
          <t>§5.5</t>
        </is>
      </c>
      <c r="K102" s="5" t="inlineStr">
        <is>
          <t>QA</t>
        </is>
      </c>
      <c r="L102" s="5" t="inlineStr">
        <is>
          <t>Must</t>
        </is>
      </c>
      <c r="M102" s="5" t="n">
        <v>5</v>
      </c>
      <c r="N102" s="5" t="inlineStr">
        <is>
          <t>L3-17</t>
        </is>
      </c>
      <c r="O102" s="5" t="inlineStr">
        <is>
          <t>À faire</t>
        </is>
      </c>
      <c r="P102" s="5" t="inlineStr"/>
    </row>
    <row r="103">
      <c r="A103" s="5" t="inlineStr">
        <is>
          <t>L3-19</t>
        </is>
      </c>
      <c r="B103" s="5" t="inlineStr">
        <is>
          <t>L3</t>
        </is>
      </c>
      <c r="C103" s="5" t="inlineStr">
        <is>
          <t>E3.4</t>
        </is>
      </c>
      <c r="D103" s="5" t="inlineStr">
        <is>
          <t>Bail d'édition &amp; concurrence</t>
        </is>
      </c>
      <c r="E103" s="5" t="inlineStr">
        <is>
          <t>Story</t>
        </is>
      </c>
      <c r="F103" s="5" t="inlineStr">
        <is>
          <t>Bail d'édition exclusif</t>
        </is>
      </c>
      <c r="G103" s="5" t="inlineStr">
        <is>
          <t>POST/DELETE /versions/{id}/edit-lock, bail 30 minutes, heartbeat.</t>
        </is>
      </c>
      <c r="H103" s="5" t="inlineStr">
        <is>
          <t>- Le second utilisateur reçoit 423 EDIT_LOCK_HELD et reste en lecture seule
- Le bail expire automatiquement
- L'Administrateur peut forcer la libération (audit)</t>
        </is>
      </c>
      <c r="I103" s="5" t="inlineStr">
        <is>
          <t>EX-EDI-04</t>
        </is>
      </c>
      <c r="J103" s="5" t="inlineStr">
        <is>
          <t>§4.4, §3.3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L3-11, L0-22</t>
        </is>
      </c>
      <c r="O103" s="5" t="inlineStr">
        <is>
          <t>À faire</t>
        </is>
      </c>
      <c r="P103" s="5" t="inlineStr"/>
    </row>
    <row r="104">
      <c r="A104" s="5" t="inlineStr">
        <is>
          <t>L3-20</t>
        </is>
      </c>
      <c r="B104" s="5" t="inlineStr">
        <is>
          <t>L3</t>
        </is>
      </c>
      <c r="C104" s="5" t="inlineStr">
        <is>
          <t>E3.5</t>
        </is>
      </c>
      <c r="D104" s="5" t="inlineStr">
        <is>
          <t>Éditeur manuel</t>
        </is>
      </c>
      <c r="E104" s="5" t="inlineStr">
        <is>
          <t>Story</t>
        </is>
      </c>
      <c r="F104" s="5" t="inlineStr">
        <is>
          <t>Déplacement d'une séance</t>
        </is>
      </c>
      <c r="G104" s="5" t="inlineStr">
        <is>
          <t>PATCH /seances/{id}/placement (MoveSeanceUseCase).</t>
        </is>
      </c>
      <c r="H104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4" s="5" t="inlineStr">
        <is>
          <t>EX-EDI-01</t>
        </is>
      </c>
      <c r="J104" s="5" t="inlineStr">
        <is>
          <t>§3.4.9, §4.4</t>
        </is>
      </c>
      <c r="K104" s="5" t="inlineStr">
        <is>
          <t>BACK</t>
        </is>
      </c>
      <c r="L104" s="5" t="inlineStr">
        <is>
          <t>Must</t>
        </is>
      </c>
      <c r="M104" s="5" t="n">
        <v>8</v>
      </c>
      <c r="N104" s="5" t="inlineStr">
        <is>
          <t>L3-17, L3-19, L3-36</t>
        </is>
      </c>
      <c r="O104" s="5" t="inlineStr">
        <is>
          <t>À faire</t>
        </is>
      </c>
      <c r="P104" s="5" t="inlineStr"/>
    </row>
    <row r="105">
      <c r="A105" s="5" t="inlineStr">
        <is>
          <t>L3-21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Simulation de placement</t>
        </is>
      </c>
      <c r="G105" s="5" t="inlineStr">
        <is>
          <t>POST /seances/{id}/placement:simulate sans écriture, avec contraintes respectées et violées et impacts.</t>
        </is>
      </c>
      <c r="H105" s="5" t="inlineStr">
        <is>
          <t>- Aucune écriture en base
- Réponse &lt; 100 ms
- La réponse indique contraintes respectées et violées, impact groupe, enseignant, salle et verrous</t>
        </is>
      </c>
      <c r="I105" s="5" t="inlineStr">
        <is>
          <t>EX-EDI-03</t>
        </is>
      </c>
      <c r="J105" s="5" t="inlineStr">
        <is>
          <t>§4.4, §5.4</t>
        </is>
      </c>
      <c r="K105" s="5" t="inlineStr">
        <is>
          <t>BACK</t>
        </is>
      </c>
      <c r="L105" s="5" t="inlineStr">
        <is>
          <t>Must</t>
        </is>
      </c>
      <c r="M105" s="5" t="n">
        <v>3</v>
      </c>
      <c r="N105" s="5" t="inlineStr">
        <is>
          <t>L3-17</t>
        </is>
      </c>
      <c r="O105" s="5" t="inlineStr">
        <is>
          <t>À faire</t>
        </is>
      </c>
      <c r="P105" s="5" t="inlineStr"/>
    </row>
    <row r="106">
      <c r="A106" s="5" t="inlineStr">
        <is>
          <t>L3-22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Changement d'enseignant</t>
        </is>
      </c>
      <c r="G106" s="5" t="inlineStr">
        <is>
          <t>PATCH /seances/{id}.</t>
        </is>
      </c>
      <c r="H106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6" s="5" t="inlineStr">
        <is>
          <t>EX-EDI-01, EX-ROL-05</t>
        </is>
      </c>
      <c r="J106" s="5" t="inlineStr">
        <is>
          <t>§4.4, §0.3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L3-20, L2-15</t>
        </is>
      </c>
      <c r="O106" s="5" t="inlineStr">
        <is>
          <t>À faire</t>
        </is>
      </c>
      <c r="P106" s="5" t="inlineStr"/>
    </row>
    <row r="107">
      <c r="A107" s="5" t="inlineStr">
        <is>
          <t>L3-23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Tâche technique</t>
        </is>
      </c>
      <c r="F107" s="5" t="inlineStr">
        <is>
          <t>Cache OccupancyIndex</t>
        </is>
      </c>
      <c r="G107" s="5" t="inlineStr">
        <is>
          <t>Cache mémoire clé versionId@revision.</t>
        </is>
      </c>
      <c r="H107" s="5" t="inlineStr">
        <is>
          <t>- Invalidation naturelle au changement de revision
- Une instance en retard reconstruit l'index</t>
        </is>
      </c>
      <c r="I107" s="5" t="inlineStr">
        <is>
          <t>EX-NFR-04</t>
        </is>
      </c>
      <c r="J107" s="5" t="inlineStr">
        <is>
          <t>§5.4</t>
        </is>
      </c>
      <c r="K107" s="5" t="inlineStr">
        <is>
          <t>BACK</t>
        </is>
      </c>
      <c r="L107" s="5" t="inlineStr">
        <is>
          <t>Should</t>
        </is>
      </c>
      <c r="M107" s="5" t="n">
        <v>3</v>
      </c>
      <c r="N107" s="5" t="inlineStr">
        <is>
          <t>L3-20</t>
        </is>
      </c>
      <c r="O107" s="5" t="inlineStr">
        <is>
          <t>À faire</t>
        </is>
      </c>
      <c r="P107" s="5" t="inlineStr"/>
    </row>
    <row r="108">
      <c r="A108" s="5" t="inlineStr">
        <is>
          <t>L3-24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Historique et annulation en brouillon</t>
        </is>
      </c>
      <c r="G108" s="5" t="inlineStr">
        <is>
          <t>Dernier auteur, dernière modification, annulation d'une modification récente, comparaison avec la version de référence.</t>
        </is>
      </c>
      <c r="H108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8" s="5" t="inlineStr">
        <is>
          <t>EX-EDI-06</t>
        </is>
      </c>
      <c r="J108" s="5" t="inlineStr">
        <is>
          <t>§4.4</t>
        </is>
      </c>
      <c r="K108" s="5" t="inlineStr">
        <is>
          <t>FULL</t>
        </is>
      </c>
      <c r="L108" s="5" t="inlineStr">
        <is>
          <t>Should</t>
        </is>
      </c>
      <c r="M108" s="5" t="n">
        <v>5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L3-25</t>
        </is>
      </c>
      <c r="B109" s="5" t="inlineStr">
        <is>
          <t>L3</t>
        </is>
      </c>
      <c r="C109" s="5" t="inlineStr">
        <is>
          <t>E3.6</t>
        </is>
      </c>
      <c r="D109" s="5" t="inlineStr">
        <is>
          <t>Guidage de résolution</t>
        </is>
      </c>
      <c r="E109" s="5" t="inlineStr">
        <is>
          <t>Story</t>
        </is>
      </c>
      <c r="F109" s="5" t="inlineStr">
        <is>
          <t>Suggestions de résolution</t>
        </is>
      </c>
      <c r="G109" s="5" t="inlineStr">
        <is>
          <t>GET /seances/{id}/suggestions, 20 alternatives maximum.</t>
        </is>
      </c>
      <c r="H109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09" s="5" t="inlineStr">
        <is>
          <t>EX-EDI-03</t>
        </is>
      </c>
      <c r="J109" s="5" t="inlineStr">
        <is>
          <t>§4.5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L3-17, L3-27</t>
        </is>
      </c>
      <c r="O109" s="5" t="inlineStr">
        <is>
          <t>À faire</t>
        </is>
      </c>
      <c r="P109" s="5" t="inlineStr"/>
    </row>
    <row r="110">
      <c r="A110" s="5" t="inlineStr">
        <is>
          <t>L3-26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UI suggestions et séances non placées</t>
        </is>
      </c>
      <c r="G110" s="5" t="inlineStr">
        <is>
          <t>Panneau des alternatives et liste des séances à placer.</t>
        </is>
      </c>
      <c r="H110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FRONT</t>
        </is>
      </c>
      <c r="L110" s="5" t="inlineStr">
        <is>
          <t>Must</t>
        </is>
      </c>
      <c r="M110" s="5" t="n">
        <v>5</v>
      </c>
      <c r="N110" s="5" t="inlineStr">
        <is>
          <t>L3-28, L3-25</t>
        </is>
      </c>
      <c r="O110" s="5" t="inlineStr">
        <is>
          <t>À faire</t>
        </is>
      </c>
      <c r="P110" s="5" t="inlineStr"/>
    </row>
    <row r="111">
      <c r="A111" s="5" t="inlineStr">
        <is>
          <t>L3-27</t>
        </is>
      </c>
      <c r="B111" s="5" t="inlineStr">
        <is>
          <t>L3</t>
        </is>
      </c>
      <c r="C111" s="5" t="inlineStr">
        <is>
          <t>E3.7</t>
        </is>
      </c>
      <c r="D111" s="5" t="inlineStr">
        <is>
          <t>Grille d'édition (UI)</t>
        </is>
      </c>
      <c r="E111" s="5" t="inlineStr">
        <is>
          <t>Story</t>
        </is>
      </c>
      <c r="F111" s="5" t="inlineStr">
        <is>
          <t>Évaluateurs de contraintes souples</t>
        </is>
      </c>
      <c r="G111" s="5" t="inlineStr">
        <is>
          <t>Sous-ensemble : heures consécutives, creux, plages à éviter, équilibre journalier.</t>
        </is>
      </c>
      <c r="H111" s="5" t="inlineStr">
        <is>
          <t>- Un score et un delta sont retournés à chaque déplacement
- Les contraintes sans évaluateur sont marquées « non évaluée »</t>
        </is>
      </c>
      <c r="I111" s="5" t="inlineStr">
        <is>
          <t>EX-CMP-02, EX-CTR-02</t>
        </is>
      </c>
      <c r="J111" s="5" t="inlineStr">
        <is>
          <t>§4.7, §0.3</t>
        </is>
      </c>
      <c r="K111" s="5" t="inlineStr">
        <is>
          <t>BACK</t>
        </is>
      </c>
      <c r="L111" s="5" t="inlineStr">
        <is>
          <t>Should</t>
        </is>
      </c>
      <c r="M111" s="5" t="n">
        <v>8</v>
      </c>
      <c r="N111" s="5" t="inlineStr">
        <is>
          <t>L3-03, L3-17</t>
        </is>
      </c>
      <c r="O111" s="5" t="inlineStr">
        <is>
          <t>À faire</t>
        </is>
      </c>
      <c r="P111" s="5" t="inlineStr"/>
    </row>
    <row r="112">
      <c r="A112" s="5" t="inlineStr">
        <is>
          <t>L3-28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Grille d'édition drag-and-drop</t>
        </is>
      </c>
      <c r="G112" s="5" t="inlineStr">
        <is>
          <t>Vues groupe, enseignant, salle avec dnd-kit, choix grille normale ou Ramadan.</t>
        </is>
      </c>
      <c r="H112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2" s="5" t="inlineStr">
        <is>
          <t>EX-EDI-01, EX-CAL-04</t>
        </is>
      </c>
      <c r="J112" s="5" t="inlineStr">
        <is>
          <t>§0.1, §5.4</t>
        </is>
      </c>
      <c r="K112" s="5" t="inlineStr">
        <is>
          <t>FRONT</t>
        </is>
      </c>
      <c r="L112" s="5" t="inlineStr">
        <is>
          <t>Must</t>
        </is>
      </c>
      <c r="M112" s="5" t="n">
        <v>13</v>
      </c>
      <c r="N112" s="5" t="inlineStr">
        <is>
          <t>L3-20, L3-11, L0-28, L1-22</t>
        </is>
      </c>
      <c r="O112" s="5" t="inlineStr">
        <is>
          <t>À faire</t>
        </is>
      </c>
      <c r="P112" s="5" t="inlineStr"/>
    </row>
    <row r="113">
      <c r="A113" s="5" t="inlineStr">
        <is>
          <t>L3-29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Panneau de conflits et simulation</t>
        </is>
      </c>
      <c r="G113" s="5" t="inlineStr">
        <is>
          <t>Conflits actifs, simulation au survol, détail des règles violées, sévérité.</t>
        </is>
      </c>
      <c r="H113" s="5" t="inlineStr">
        <is>
          <t>- La simulation s'affiche avant dépôt
- Les conflits sont filtrables par type et sévérité
- La classification opérationnelle des conflits est affichée</t>
        </is>
      </c>
      <c r="I113" s="5" t="inlineStr">
        <is>
          <t>EX-EDI-02, EX-EDI-03</t>
        </is>
      </c>
      <c r="J113" s="5" t="inlineStr">
        <is>
          <t>§3.4.9</t>
        </is>
      </c>
      <c r="K113" s="5" t="inlineStr">
        <is>
          <t>FRONT</t>
        </is>
      </c>
      <c r="L113" s="5" t="inlineStr">
        <is>
          <t>Must</t>
        </is>
      </c>
      <c r="M113" s="5" t="n">
        <v>8</v>
      </c>
      <c r="N113" s="5" t="inlineStr">
        <is>
          <t>L3-28, L3-21</t>
        </is>
      </c>
      <c r="O113" s="5" t="inlineStr">
        <is>
          <t>À faire</t>
        </is>
      </c>
      <c r="P113" s="5" t="inlineStr"/>
    </row>
    <row r="114">
      <c r="A114" s="5" t="inlineStr">
        <is>
          <t>L3-30</t>
        </is>
      </c>
      <c r="B114" s="5" t="inlineStr">
        <is>
          <t>L3</t>
        </is>
      </c>
      <c r="C114" s="5" t="inlineStr">
        <is>
          <t>E3.8</t>
        </is>
      </c>
      <c r="D114" s="5" t="inlineStr">
        <is>
          <t>Complétude &amp; impacts référentiel</t>
        </is>
      </c>
      <c r="E114" s="5" t="inlineStr">
        <is>
          <t>Story</t>
        </is>
      </c>
      <c r="F114" s="5" t="inlineStr">
        <is>
          <t>Couverture et complétude</t>
        </is>
      </c>
      <c r="G114" s="5" t="inlineStr">
        <is>
          <t>GET /versions/{id}/completude.</t>
        </is>
      </c>
      <c r="H114" s="5" t="inlineStr">
        <is>
          <t>- Attendu, placé et écart par affectation
- Seule une couverture exacte autorise le passage à PRET_POUR_VALIDATION</t>
        </is>
      </c>
      <c r="I114" s="5" t="inlineStr">
        <is>
          <t>EX-EDI-05</t>
        </is>
      </c>
      <c r="J114" s="5" t="inlineStr">
        <is>
          <t>§4.8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L3-15</t>
        </is>
      </c>
      <c r="O114" s="5" t="inlineStr">
        <is>
          <t>À faire</t>
        </is>
      </c>
      <c r="P114" s="5" t="inlineStr"/>
    </row>
    <row r="115">
      <c r="A115" s="5" t="inlineStr">
        <is>
          <t>L3-31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UI couverture</t>
        </is>
      </c>
      <c r="G115" s="5" t="inlineStr">
        <is>
          <t>Tableau de couverture par affectation et département.</t>
        </is>
      </c>
      <c r="H115" s="5" t="inlineStr">
        <is>
          <t>- Écarts négatifs et positifs distingués
- Navigation vers les séances concernées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FRONT</t>
        </is>
      </c>
      <c r="L115" s="5" t="inlineStr">
        <is>
          <t>Should</t>
        </is>
      </c>
      <c r="M115" s="5" t="n">
        <v>3</v>
      </c>
      <c r="N115" s="5" t="inlineStr">
        <is>
          <t>L3-30, L0-28</t>
        </is>
      </c>
      <c r="O115" s="5" t="inlineStr">
        <is>
          <t>À faire</t>
        </is>
      </c>
      <c r="P115" s="5" t="inlineStr"/>
    </row>
    <row r="116">
      <c r="A116" s="5" t="inlineStr">
        <is>
          <t>L3-32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Recalcul sur changement de référentiel</t>
        </is>
      </c>
      <c r="G116" s="5" t="inlineStr">
        <is>
          <t>Indisponibilité ajoutée, capacité ou effectif modifié.</t>
        </is>
      </c>
      <c r="H116" s="5" t="inlineStr">
        <is>
          <t>- Les conflits DISPONIBILITE ou CAPACITE sont recalculés sur les versions non publiées
- Aucune modification sur une version PUBLIE ou ARCHIVE</t>
        </is>
      </c>
      <c r="I116" s="5" t="inlineStr">
        <is>
          <t>EX-EDI-02</t>
        </is>
      </c>
      <c r="J116" s="5" t="inlineStr">
        <is>
          <t>§4.19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L3-17, L1-20</t>
        </is>
      </c>
      <c r="O116" s="5" t="inlineStr">
        <is>
          <t>À faire</t>
        </is>
      </c>
      <c r="P116" s="5" t="inlineStr"/>
    </row>
    <row r="117">
      <c r="A117" s="5" t="inlineStr">
        <is>
          <t>L3-33</t>
        </is>
      </c>
      <c r="B117" s="5" t="inlineStr">
        <is>
          <t>L3</t>
        </is>
      </c>
      <c r="C117" s="5" t="inlineStr">
        <is>
          <t>E3.9</t>
        </is>
      </c>
      <c r="D117" s="5" t="inlineStr">
        <is>
          <t>Vœux des enseignants</t>
        </is>
      </c>
      <c r="E117" s="5" t="inlineStr">
        <is>
          <t>Story</t>
        </is>
      </c>
      <c r="F117" s="5" t="inlineStr">
        <is>
          <t>Vœux des enseignants (modèle et API)</t>
        </is>
      </c>
      <c r="G117" s="5" t="inlineStr">
        <is>
          <t>Vœux = contraintes souples nature VOEU par enseignant et par semestre.</t>
        </is>
      </c>
      <c r="H117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7" s="5" t="inlineStr">
        <is>
          <t>EX-CTR-03</t>
        </is>
      </c>
      <c r="J117" s="5" t="inlineStr">
        <is>
          <t>§4.11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L3-03, L3-05</t>
        </is>
      </c>
      <c r="O117" s="5" t="inlineStr">
        <is>
          <t>À faire</t>
        </is>
      </c>
      <c r="P117" s="5" t="inlineStr"/>
    </row>
    <row r="118">
      <c r="A118" s="5" t="inlineStr">
        <is>
          <t>L3-34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UI de saisie des vœux</t>
        </is>
      </c>
      <c r="G118" s="5" t="inlineStr">
        <is>
          <t>Grille jour × créneau de 30 minutes par enseignant, avec niveau de préférence.</t>
        </is>
      </c>
      <c r="H118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8" s="5" t="inlineStr">
        <is>
          <t>EX-CTR-03</t>
        </is>
      </c>
      <c r="J118" s="5" t="inlineStr">
        <is>
          <t>§3.3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L3-33, L0-28</t>
        </is>
      </c>
      <c r="O118" s="5" t="inlineStr">
        <is>
          <t>À faire</t>
        </is>
      </c>
      <c r="P118" s="5" t="inlineStr"/>
    </row>
    <row r="119">
      <c r="A119" s="5" t="inlineStr">
        <is>
          <t>L3-35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Évaluateur de satisfaction des vœux</t>
        </is>
      </c>
      <c r="G119" s="5" t="inlineStr">
        <is>
          <t>Mesure du respect des vœux dans l'éditeur et la comparaison de générations.</t>
        </is>
      </c>
      <c r="H119" s="5" t="inlineStr">
        <is>
          <t>- Score par enseignant et global, delta à chaque déplacement
- Vœu non respecté signalé comme avertissement dans le panneau de conflits
- Résultat repris dans Generation.metrics</t>
        </is>
      </c>
      <c r="I119" s="5" t="inlineStr">
        <is>
          <t>EX-CTR-03, EX-CMP-02</t>
        </is>
      </c>
      <c r="J119" s="5" t="inlineStr">
        <is>
          <t>§4.7, §4.11</t>
        </is>
      </c>
      <c r="K119" s="5" t="inlineStr">
        <is>
          <t>BACK</t>
        </is>
      </c>
      <c r="L119" s="5" t="inlineStr">
        <is>
          <t>Should</t>
        </is>
      </c>
      <c r="M119" s="5" t="n">
        <v>3</v>
      </c>
      <c r="N119" s="5" t="inlineStr">
        <is>
          <t>L3-33, L3-27</t>
        </is>
      </c>
      <c r="O119" s="5" t="inlineStr">
        <is>
          <t>À faire</t>
        </is>
      </c>
      <c r="P119" s="5" t="inlineStr"/>
    </row>
    <row r="120">
      <c r="A120" s="5" t="inlineStr">
        <is>
          <t>L3-36</t>
        </is>
      </c>
      <c r="B120" s="5" t="inlineStr">
        <is>
          <t>L3</t>
        </is>
      </c>
      <c r="C120" s="5" t="inlineStr">
        <is>
          <t>E3.10</t>
        </is>
      </c>
      <c r="D120" s="5" t="inlineStr">
        <is>
          <t>Verrous</t>
        </is>
      </c>
      <c r="E120" s="5" t="inlineStr">
        <is>
          <t>Story</t>
        </is>
      </c>
      <c r="F120" s="5" t="inlineStr">
        <is>
          <t>Verrous par séance (modèle et API)</t>
        </is>
      </c>
      <c r="G120" s="5" t="inlineStr">
        <is>
          <t>VerrouSeance de type CRENEAU, SALLE, ENSEIGNANT, ACTIVITE ; levée avec historique.</t>
        </is>
      </c>
      <c r="H120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0" s="5" t="inlineStr">
        <is>
          <t>EX-VRR-01</t>
        </is>
      </c>
      <c r="J120" s="5" t="inlineStr">
        <is>
          <t>§4.14, §3.4.18</t>
        </is>
      </c>
      <c r="K120" s="5" t="inlineStr">
        <is>
          <t>BACK</t>
        </is>
      </c>
      <c r="L120" s="5" t="inlineStr">
        <is>
          <t>Must</t>
        </is>
      </c>
      <c r="M120" s="5" t="n">
        <v>5</v>
      </c>
      <c r="N120" s="5" t="inlineStr">
        <is>
          <t>L3-10</t>
        </is>
      </c>
      <c r="O120" s="5" t="inlineStr">
        <is>
          <t>À faire</t>
        </is>
      </c>
      <c r="P120" s="5" t="inlineStr"/>
    </row>
    <row r="121">
      <c r="A121" s="5" t="inlineStr">
        <is>
          <t>L3-37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Pose en masse et aperçu de levée</t>
        </is>
      </c>
      <c r="G121" s="5" t="inlineStr">
        <is>
          <t>POST /versions/{id}/verrous:bulk et DELETE /verrous/{id}?preview=true.</t>
        </is>
      </c>
      <c r="H121" s="5" t="inlineStr">
        <is>
          <t>- Pose en masse pour un groupe, un enseignant ou une salle
- La levée affiche son impact sur les générations futures avant confirmation</t>
        </is>
      </c>
      <c r="I121" s="5" t="inlineStr">
        <is>
          <t>EX-VRR-01</t>
        </is>
      </c>
      <c r="J121" s="5" t="inlineStr">
        <is>
          <t>§3.4.18, §4.14</t>
        </is>
      </c>
      <c r="K121" s="5" t="inlineStr">
        <is>
          <t>BACK</t>
        </is>
      </c>
      <c r="L121" s="5" t="inlineStr">
        <is>
          <t>Must</t>
        </is>
      </c>
      <c r="M121" s="5" t="n">
        <v>3</v>
      </c>
      <c r="N121" s="5" t="inlineStr">
        <is>
          <t>L3-36</t>
        </is>
      </c>
      <c r="O121" s="5" t="inlineStr">
        <is>
          <t>À faire</t>
        </is>
      </c>
      <c r="P121" s="5" t="inlineStr"/>
    </row>
    <row r="122">
      <c r="A122" s="5" t="inlineStr">
        <is>
          <t>L3-38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UI des verrous</t>
        </is>
      </c>
      <c r="G122" s="5" t="inlineStr">
        <is>
          <t>Pose, pose en masse, levée avec aperçu et historique dans la grille.</t>
        </is>
      </c>
      <c r="H122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2" s="5" t="inlineStr">
        <is>
          <t>EX-VRR-01</t>
        </is>
      </c>
      <c r="J122" s="5" t="inlineStr">
        <is>
          <t>§4.14</t>
        </is>
      </c>
      <c r="K122" s="5" t="inlineStr">
        <is>
          <t>FRONT</t>
        </is>
      </c>
      <c r="L122" s="5" t="inlineStr">
        <is>
          <t>Must</t>
        </is>
      </c>
      <c r="M122" s="5" t="n">
        <v>5</v>
      </c>
      <c r="N122" s="5" t="inlineStr">
        <is>
          <t>L3-37, L3-28</t>
        </is>
      </c>
      <c r="O122" s="5" t="inlineStr">
        <is>
          <t>À faire</t>
        </is>
      </c>
      <c r="P122" s="5" t="inlineStr"/>
    </row>
    <row r="123">
      <c r="A123" s="5" t="inlineStr">
        <is>
          <t>L3-39</t>
        </is>
      </c>
      <c r="B123" s="5" t="inlineStr">
        <is>
          <t>L3</t>
        </is>
      </c>
      <c r="C123" s="5" t="inlineStr">
        <is>
          <t>E3.11</t>
        </is>
      </c>
      <c r="D123" s="5" t="inlineStr">
        <is>
          <t>Avertissements acceptés</t>
        </is>
      </c>
      <c r="E123" s="5" t="inlineStr">
        <is>
          <t>Story</t>
        </is>
      </c>
      <c r="F123" s="5" t="inlineStr">
        <is>
          <t>Acceptation des avertissements (API)</t>
        </is>
      </c>
      <c r="G123" s="5" t="inlineStr">
        <is>
          <t>AvertissementAccepte, POST /versions/{id}/avertissements:accept, caducité par signature.</t>
        </is>
      </c>
      <c r="H123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3" s="5" t="inlineStr">
        <is>
          <t>EX-CTR-07</t>
        </is>
      </c>
      <c r="J123" s="5" t="inlineStr">
        <is>
          <t>§4.15, §3.4.19</t>
        </is>
      </c>
      <c r="K123" s="5" t="inlineStr">
        <is>
          <t>BACK</t>
        </is>
      </c>
      <c r="L123" s="5" t="inlineStr">
        <is>
          <t>Must</t>
        </is>
      </c>
      <c r="M123" s="5" t="n">
        <v>5</v>
      </c>
      <c r="N123" s="5" t="inlineStr">
        <is>
          <t>L3-16, L0-22</t>
        </is>
      </c>
      <c r="O123" s="5" t="inlineStr">
        <is>
          <t>À faire</t>
        </is>
      </c>
      <c r="P123" s="5" t="inlineStr"/>
    </row>
    <row r="124">
      <c r="A124" s="5" t="inlineStr">
        <is>
          <t>L3-40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UI des avertissements</t>
        </is>
      </c>
      <c r="G124" s="5" t="inlineStr">
        <is>
          <t>Liste des avertissements, acceptation par avertissement ou par règle, avec impact.</t>
        </is>
      </c>
      <c r="H124" s="5" t="inlineStr">
        <is>
          <t>- Les avertissements acceptés et non acceptés sont séparés
- L'impact est affiché avant confirmation
- Les avertissements acceptés restent visibles dans l'historique</t>
        </is>
      </c>
      <c r="I124" s="5" t="inlineStr">
        <is>
          <t>EX-CTR-07</t>
        </is>
      </c>
      <c r="J124" s="5" t="inlineStr">
        <is>
          <t>§4.15</t>
        </is>
      </c>
      <c r="K124" s="5" t="inlineStr">
        <is>
          <t>FRONT</t>
        </is>
      </c>
      <c r="L124" s="5" t="inlineStr">
        <is>
          <t>Must</t>
        </is>
      </c>
      <c r="M124" s="5" t="n">
        <v>3</v>
      </c>
      <c r="N124" s="5" t="inlineStr">
        <is>
          <t>L3-39, L3-29</t>
        </is>
      </c>
      <c r="O124" s="5" t="inlineStr">
        <is>
          <t>À faire</t>
        </is>
      </c>
      <c r="P124" s="5" t="inlineStr"/>
    </row>
    <row r="125">
      <c r="A125" s="5" t="inlineStr">
        <is>
          <t>L3-41</t>
        </is>
      </c>
      <c r="B125" s="5" t="inlineStr">
        <is>
          <t>L3</t>
        </is>
      </c>
      <c r="C125" s="5" t="inlineStr">
        <is>
          <t>E3.12</t>
        </is>
      </c>
      <c r="D125" s="5" t="inlineStr">
        <is>
          <t>Covoiturage &amp; exigences de salle</t>
        </is>
      </c>
      <c r="E125" s="5" t="inlineStr">
        <is>
          <t>Story</t>
        </is>
      </c>
      <c r="F125" s="5" t="inlineStr">
        <is>
          <t>Groupes de covoiturage (modèle, API, évaluateur)</t>
        </is>
      </c>
      <c r="G125" s="5" t="inlineStr">
        <is>
          <t>GroupeCovoiturage par semestre, marge, jours communs, option strict, évaluateur applicatif.</t>
        </is>
      </c>
      <c r="H125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5" s="5" t="inlineStr">
        <is>
          <t>EX-CTR-05</t>
        </is>
      </c>
      <c r="J125" s="5" t="inlineStr">
        <is>
          <t>§4.11, §4.3</t>
        </is>
      </c>
      <c r="K125" s="5" t="inlineStr">
        <is>
          <t>BACK</t>
        </is>
      </c>
      <c r="L125" s="5" t="inlineStr">
        <is>
          <t>Should</t>
        </is>
      </c>
      <c r="M125" s="5" t="n">
        <v>5</v>
      </c>
      <c r="N125" s="5" t="inlineStr">
        <is>
          <t>L3-03, L3-17</t>
        </is>
      </c>
      <c r="O125" s="5" t="inlineStr">
        <is>
          <t>À faire</t>
        </is>
      </c>
      <c r="P125" s="5" t="inlineStr"/>
    </row>
    <row r="126">
      <c r="A126" s="5" t="inlineStr">
        <is>
          <t>L3-42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UI covoiturage</t>
        </is>
      </c>
      <c r="G126" s="5" t="inlineStr">
        <is>
          <t>Création des groupes, membres, marge et indicateur strict.</t>
        </is>
      </c>
      <c r="H126" s="5" t="inlineStr">
        <is>
          <t>- Au moins deux enseignants par groupe
- Le caractère souple ou strict est visible</t>
        </is>
      </c>
      <c r="I126" s="5" t="inlineStr">
        <is>
          <t>EX-CTR-05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Should</t>
        </is>
      </c>
      <c r="M126" s="5" t="n">
        <v>3</v>
      </c>
      <c r="N126" s="5" t="inlineStr">
        <is>
          <t>L3-41, L0-28</t>
        </is>
      </c>
      <c r="O126" s="5" t="inlineStr">
        <is>
          <t>À faire</t>
        </is>
      </c>
      <c r="P126" s="5" t="inlineStr"/>
    </row>
    <row r="127">
      <c r="A127" s="5" t="inlineStr">
        <is>
          <t>L3-43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Exigences de salle par activité</t>
        </is>
      </c>
      <c r="G127" s="5" t="inlineStr">
        <is>
          <t>ExigenceSalleActivite : salle imposée et liste de salles autorisées, par semestre et affectationKey.</t>
        </is>
      </c>
      <c r="H127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7" s="5" t="inlineStr">
        <is>
          <t>EX-ACT-04</t>
        </is>
      </c>
      <c r="J127" s="5" t="inlineStr">
        <is>
          <t>§4.11, §2.2</t>
        </is>
      </c>
      <c r="K127" s="5" t="inlineStr">
        <is>
          <t>BACK</t>
        </is>
      </c>
      <c r="L127" s="5" t="inlineStr">
        <is>
          <t>Must</t>
        </is>
      </c>
      <c r="M127" s="5" t="n">
        <v>5</v>
      </c>
      <c r="N127" s="5" t="inlineStr">
        <is>
          <t>L3-14, L3-09</t>
        </is>
      </c>
      <c r="O127" s="5" t="inlineStr">
        <is>
          <t>À faire</t>
        </is>
      </c>
      <c r="P127" s="5" t="inlineStr"/>
    </row>
    <row r="128">
      <c r="A128" s="5" t="inlineStr">
        <is>
          <t>L3-44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des exigences de salle</t>
        </is>
      </c>
      <c r="G128" s="5" t="inlineStr">
        <is>
          <t>Choix d'une salle imposée ou d'une liste autorisée depuis une affectation ou une séance.</t>
        </is>
      </c>
      <c r="H128" s="5" t="inlineStr">
        <is>
          <t>- Indication des salles incompatibles et de la capacité
- Lecture seule pour le Responsable</t>
        </is>
      </c>
      <c r="I128" s="5" t="inlineStr">
        <is>
          <t>EX-ACT-04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L3-43, L0-28</t>
        </is>
      </c>
      <c r="O128" s="5" t="inlineStr">
        <is>
          <t>À faire</t>
        </is>
      </c>
      <c r="P128" s="5" t="inlineStr"/>
    </row>
    <row r="129">
      <c r="A129" s="5" t="inlineStr">
        <is>
          <t>L3-45</t>
        </is>
      </c>
      <c r="B129" s="5" t="inlineStr">
        <is>
          <t>L3</t>
        </is>
      </c>
      <c r="C129" s="5" t="inlineStr">
        <is>
          <t>E3.13</t>
        </is>
      </c>
      <c r="D129" s="5" t="inlineStr">
        <is>
          <t>Imports de planification</t>
        </is>
      </c>
      <c r="E129" s="5" t="inlineStr">
        <is>
          <t>Story</t>
        </is>
      </c>
      <c r="F129" s="5" t="inlineStr">
        <is>
          <t>Import des données de planification par le Gestionnaire</t>
        </is>
      </c>
      <c r="G129" s="5" t="inlineStr">
        <is>
          <t>Imports CSV et XLSX des indisponibilités, vœux, contraintes et groupes de covoiturage.</t>
        </is>
      </c>
      <c r="H129" s="5" t="inlineStr">
        <is>
          <t>- Mêmes règles que l'import de référentiel (simulation, rapport, aucun import partiel)
- Écriture réservée au Gestionnaire et à l'Administrateur</t>
        </is>
      </c>
      <c r="I129" s="5" t="inlineStr">
        <is>
          <t>EX-IMP-01</t>
        </is>
      </c>
      <c r="J129" s="5" t="inlineStr">
        <is>
          <t>§4.9</t>
        </is>
      </c>
      <c r="K129" s="5" t="inlineStr">
        <is>
          <t>BACK</t>
        </is>
      </c>
      <c r="L129" s="5" t="inlineStr">
        <is>
          <t>Should</t>
        </is>
      </c>
      <c r="M129" s="5" t="n">
        <v>5</v>
      </c>
      <c r="N129" s="5" t="inlineStr">
        <is>
          <t>L1-26, L3-33, L3-41, L3-03</t>
        </is>
      </c>
      <c r="O129" s="5" t="inlineStr">
        <is>
          <t>À faire</t>
        </is>
      </c>
      <c r="P129" s="5" t="inlineStr"/>
    </row>
    <row r="130">
      <c r="A130" s="5" t="inlineStr">
        <is>
          <t>L4-01</t>
        </is>
      </c>
      <c r="B130" s="5" t="inlineStr">
        <is>
          <t>L4</t>
        </is>
      </c>
      <c r="C130" s="5" t="inlineStr">
        <is>
          <t>E4.1</t>
        </is>
      </c>
      <c r="D130" s="5" t="inlineStr">
        <is>
          <t>Spike FET (S1)</t>
        </is>
      </c>
      <c r="E130" s="5" t="inlineStr">
        <is>
          <t>Spike</t>
        </is>
      </c>
      <c r="F130" s="5" t="inlineStr">
        <is>
          <t>Spike S1 : tests empiriques FET (analyse documentaire faite)</t>
        </is>
      </c>
      <c r="G130" s="5" t="inlineStr">
        <is>
          <t>L'analyse documentaire est terminée (ADR_S1_FET.md). Reste à valider sur FET 7.11.1 (Linux) avec le fichier de l'ISAMK, via s1_fet_tests.sh.</t>
        </is>
      </c>
      <c r="H130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0" s="5" t="inlineStr">
        <is>
          <t>EX-MOT-04, EX-MOT-06</t>
        </is>
      </c>
      <c r="J130" s="5" t="inlineStr">
        <is>
          <t>§6.1, §4.6.4</t>
        </is>
      </c>
      <c r="K130" s="5" t="inlineStr">
        <is>
          <t>BACK</t>
        </is>
      </c>
      <c r="L130" s="5" t="inlineStr">
        <is>
          <t>Must</t>
        </is>
      </c>
      <c r="M130" s="5" t="n">
        <v>5</v>
      </c>
      <c r="N130" s="5" t="inlineStr"/>
      <c r="O130" s="5" t="inlineStr">
        <is>
          <t>À faire</t>
        </is>
      </c>
      <c r="P130" s="5" t="inlineStr"/>
    </row>
    <row r="131">
      <c r="A131" s="5" t="inlineStr">
        <is>
          <t>L4-02</t>
        </is>
      </c>
      <c r="B131" s="5" t="inlineStr">
        <is>
          <t>L4</t>
        </is>
      </c>
      <c r="C131" s="5" t="inlineStr">
        <is>
          <t>E4.2</t>
        </is>
      </c>
      <c r="D131" s="5" t="inlineStr">
        <is>
          <t>Port &amp; adaptateur FET</t>
        </is>
      </c>
      <c r="E131" s="5" t="inlineStr">
        <is>
          <t>Story</t>
        </is>
      </c>
      <c r="F131" s="5" t="inlineStr">
        <is>
          <t>Port SchedulingEngine et modèle neutre</t>
        </is>
      </c>
      <c r="G131" s="5" t="inlineStr">
        <is>
          <t>Interface SchedulingEngine, EngineInput neutre, describeCapabilities.</t>
        </is>
      </c>
      <c r="H131" s="5" t="inlineStr">
        <is>
          <t>- Le domaine ne dépend d'aucun type FET ni Prisma
- Un moteur futur n'implémente que le port</t>
        </is>
      </c>
      <c r="I131" s="5" t="inlineStr">
        <is>
          <t>EX-MOT-01, EX-PRI-01</t>
        </is>
      </c>
      <c r="J131" s="5" t="inlineStr">
        <is>
          <t>§1.6</t>
        </is>
      </c>
      <c r="K131" s="5" t="inlineStr">
        <is>
          <t>BACK</t>
        </is>
      </c>
      <c r="L131" s="5" t="inlineStr">
        <is>
          <t>Must</t>
        </is>
      </c>
      <c r="M131" s="5" t="n">
        <v>3</v>
      </c>
      <c r="N131" s="5" t="inlineStr">
        <is>
          <t>L0-03</t>
        </is>
      </c>
      <c r="O131" s="5" t="inlineStr">
        <is>
          <t>À faire</t>
        </is>
      </c>
      <c r="P131" s="5" t="inlineStr"/>
    </row>
    <row r="132">
      <c r="A132" s="5" t="inlineStr">
        <is>
          <t>L4-03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Construction du fichier FET : entités</t>
        </is>
      </c>
      <c r="G132" s="5" t="inlineStr">
        <is>
          <t>Activités, enseignants (identifiants techniques), groupes, salles, créneaux, Activity Tags.</t>
        </is>
      </c>
      <c r="H132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2" s="5" t="inlineStr">
        <is>
          <t>EX-MOT-02</t>
        </is>
      </c>
      <c r="J132" s="5" t="inlineStr">
        <is>
          <t>§4.6.1, §4.6.2</t>
        </is>
      </c>
      <c r="K132" s="5" t="inlineStr">
        <is>
          <t>BACK</t>
        </is>
      </c>
      <c r="L132" s="5" t="inlineStr">
        <is>
          <t>Must</t>
        </is>
      </c>
      <c r="M132" s="5" t="n">
        <v>8</v>
      </c>
      <c r="N132" s="5" t="inlineStr">
        <is>
          <t>L4-02, L4-01, L3-09, L1-06</t>
        </is>
      </c>
      <c r="O132" s="5" t="inlineStr">
        <is>
          <t>À faire</t>
        </is>
      </c>
      <c r="P132" s="5" t="inlineStr"/>
    </row>
    <row r="133">
      <c r="A133" s="5" t="inlineStr">
        <is>
          <t>L4-04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contraintes dures</t>
        </is>
      </c>
      <c r="G133" s="5" t="inlineStr">
        <is>
          <t>Pauses, indisponibilités, compatibilités salles par tag, salle imposée, liste autorisée, espacement des séances.</t>
        </is>
      </c>
      <c r="H133" s="5" t="inlineStr">
        <is>
          <t>- Chaque contrainte dure active produit son équivalent FET
- Tests golden file par contrainte</t>
        </is>
      </c>
      <c r="I133" s="5" t="inlineStr">
        <is>
          <t>EX-MOT-02</t>
        </is>
      </c>
      <c r="J133" s="5" t="inlineStr">
        <is>
          <t>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L4-03, L3-43, L3-08</t>
        </is>
      </c>
      <c r="O133" s="5" t="inlineStr">
        <is>
          <t>À faire</t>
        </is>
      </c>
      <c r="P133" s="5" t="inlineStr"/>
    </row>
    <row r="134">
      <c r="A134" s="5" t="inlineStr">
        <is>
          <t>L4-05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souples et verrous</t>
        </is>
      </c>
      <c r="G134" s="5" t="inlineStr">
        <is>
          <t>Poids %, positions imposées pour verrous créneau, salle et activité.</t>
        </is>
      </c>
      <c r="H134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4" s="5" t="inlineStr">
        <is>
          <t>EX-MOT-02, EX-VRR-01</t>
        </is>
      </c>
      <c r="J134" s="5" t="inlineStr">
        <is>
          <t>§4.6.2, §4.14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L4-04, L3-36, L3-33</t>
        </is>
      </c>
      <c r="O134" s="5" t="inlineStr">
        <is>
          <t>À faire</t>
        </is>
      </c>
      <c r="P134" s="5" t="inlineStr"/>
    </row>
    <row r="135">
      <c r="A135" s="5" t="inlineStr">
        <is>
          <t>L4-06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Rapport de traduction</t>
        </is>
      </c>
      <c r="G135" s="5" t="inlineStr">
        <is>
          <t>mappingReport TRADUITE, PARTIELLE, NON_TRADUITE et prévisualisation, règles traduites et règles contrôlées par l'application.</t>
        </is>
      </c>
      <c r="H135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5" s="5" t="inlineStr">
        <is>
          <t>EX-MOT-03, EX-PRI-02</t>
        </is>
      </c>
      <c r="J135" s="5" t="inlineStr">
        <is>
          <t>§4.6.3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L4-04, L3-02</t>
        </is>
      </c>
      <c r="O135" s="5" t="inlineStr">
        <is>
          <t>À faire</t>
        </is>
      </c>
      <c r="P135" s="5" t="inlineStr"/>
    </row>
    <row r="136">
      <c r="A136" s="5" t="inlineStr">
        <is>
          <t>L4-07</t>
        </is>
      </c>
      <c r="B136" s="5" t="inlineStr">
        <is>
          <t>L4</t>
        </is>
      </c>
      <c r="C136" s="5" t="inlineStr">
        <is>
          <t>E4.3</t>
        </is>
      </c>
      <c r="D136" s="5" t="inlineStr">
        <is>
          <t>Worker de génération</t>
        </is>
      </c>
      <c r="E136" s="5" t="inlineStr">
        <is>
          <t>Story</t>
        </is>
      </c>
      <c r="F136" s="5" t="inlineStr">
        <is>
          <t>Worker idempotent sur la file PostgreSQL</t>
        </is>
      </c>
      <c r="G136" s="5" t="inlineStr">
        <is>
          <t>Consommation de la file pg-boss, claim, reprise des jobs orphelins, file d'échecs.</t>
        </is>
      </c>
      <c r="H136" s="5" t="inlineStr">
        <is>
          <t>- Un job tué est repris sans doublon
- File d'échecs après 3 tentatives avec alerte
- Un seul job actif par semestre</t>
        </is>
      </c>
      <c r="I136" s="5" t="inlineStr">
        <is>
          <t>EX-GEN-04, EX-GEN-05</t>
        </is>
      </c>
      <c r="J136" s="5" t="inlineStr">
        <is>
          <t>§4.6.4, §4.19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L0-07</t>
        </is>
      </c>
      <c r="O136" s="5" t="inlineStr">
        <is>
          <t>À faire</t>
        </is>
      </c>
      <c r="P136" s="5" t="inlineStr"/>
    </row>
    <row r="137">
      <c r="A137" s="5" t="inlineStr">
        <is>
          <t>L4-08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Exécution isolée de fet-cl</t>
        </is>
      </c>
      <c r="G137" s="5" t="inlineStr">
        <is>
          <t>Sous-processus fet-cl en version épinglée 7.11.1, outputdir dédié, arrêt ordonné.</t>
        </is>
      </c>
      <c r="H137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7" s="5" t="inlineStr">
        <is>
          <t>EX-MOT-04, EX-MOT-06</t>
        </is>
      </c>
      <c r="J137" s="5" t="inlineStr">
        <is>
          <t>§4.6.4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L4-07, L4-01</t>
        </is>
      </c>
      <c r="O137" s="5" t="inlineStr">
        <is>
          <t>À faire</t>
        </is>
      </c>
      <c r="P137" s="5" t="inlineStr"/>
    </row>
    <row r="138">
      <c r="A138" s="5" t="inlineStr">
        <is>
          <t>L4-09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Import du résultat et métriques</t>
        </is>
      </c>
      <c r="G138" s="5" t="inlineStr">
        <is>
          <t>Import du meilleur état, y compris partiel, avec séances NON_PLACEE ; échec conservé pour diagnostic.</t>
        </is>
      </c>
      <c r="H138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8" s="5" t="inlineStr">
        <is>
          <t>EX-MOT-05, EX-GEN-07</t>
        </is>
      </c>
      <c r="J138" s="5" t="inlineStr">
        <is>
          <t>§4.6.5, §4.6.1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L4-08, L3-17</t>
        </is>
      </c>
      <c r="O138" s="5" t="inlineStr">
        <is>
          <t>À faire</t>
        </is>
      </c>
      <c r="P138" s="5" t="inlineStr"/>
    </row>
    <row r="139">
      <c r="A139" s="5" t="inlineStr">
        <is>
          <t>L4-10</t>
        </is>
      </c>
      <c r="B139" s="5" t="inlineStr">
        <is>
          <t>L4</t>
        </is>
      </c>
      <c r="C139" s="5" t="inlineStr">
        <is>
          <t>E4.4</t>
        </is>
      </c>
      <c r="D139" s="5" t="inlineStr">
        <is>
          <t>Profils de génération</t>
        </is>
      </c>
      <c r="E139" s="5" t="inlineStr">
        <is>
          <t>Story</t>
        </is>
      </c>
      <c r="F139" s="5" t="inlineStr">
        <is>
          <t>Profils de génération versionnés (modèle et API)</t>
        </is>
      </c>
      <c r="G139" s="5" t="inlineStr">
        <is>
          <t>ProfilGeneration : durée limite, préservation des verrous, versions du moteur et du constructeur, graines, poids du score ; profil par défaut du semestre.</t>
        </is>
      </c>
      <c r="H139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39" s="5" t="inlineStr">
        <is>
          <t>EX-GEN-01</t>
        </is>
      </c>
      <c r="J139" s="5" t="inlineStr">
        <is>
          <t>§2.2, §3.3</t>
        </is>
      </c>
      <c r="K139" s="5" t="inlineStr">
        <is>
          <t>BACK</t>
        </is>
      </c>
      <c r="L139" s="5" t="inlineStr">
        <is>
          <t>Must</t>
        </is>
      </c>
      <c r="M139" s="5" t="n">
        <v>5</v>
      </c>
      <c r="N139" s="5" t="inlineStr">
        <is>
          <t>L1-01, L0-22</t>
        </is>
      </c>
      <c r="O139" s="5" t="inlineStr">
        <is>
          <t>À faire</t>
        </is>
      </c>
      <c r="P139" s="5" t="inlineStr"/>
    </row>
    <row r="140">
      <c r="A140" s="5" t="inlineStr">
        <is>
          <t>L4-11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UI des profils de génération</t>
        </is>
      </c>
      <c r="G140" s="5" t="inlineStr">
        <is>
          <t>Création, nouvelle version, profil par défaut, poids du score.</t>
        </is>
      </c>
      <c r="H140" s="5" t="inlineStr">
        <is>
          <t>- Les poids des critères sont éditables avec leur total
- Un profil utilisé est présenté en lecture seule avec « nouvelle version »</t>
        </is>
      </c>
      <c r="I140" s="5" t="inlineStr">
        <is>
          <t>EX-GEN-01</t>
        </is>
      </c>
      <c r="J140" s="5" t="inlineStr">
        <is>
          <t>§3.3</t>
        </is>
      </c>
      <c r="K140" s="5" t="inlineStr">
        <is>
          <t>FRONT</t>
        </is>
      </c>
      <c r="L140" s="5" t="inlineStr">
        <is>
          <t>Should</t>
        </is>
      </c>
      <c r="M140" s="5" t="n">
        <v>3</v>
      </c>
      <c r="N140" s="5" t="inlineStr">
        <is>
          <t>L4-10, L0-28</t>
        </is>
      </c>
      <c r="O140" s="5" t="inlineStr">
        <is>
          <t>À faire</t>
        </is>
      </c>
      <c r="P140" s="5" t="inlineStr"/>
    </row>
    <row r="141">
      <c r="A141" s="5" t="inlineStr">
        <is>
          <t>L4-12</t>
        </is>
      </c>
      <c r="B141" s="5" t="inlineStr">
        <is>
          <t>L4</t>
        </is>
      </c>
      <c r="C141" s="5" t="inlineStr">
        <is>
          <t>E4.5</t>
        </is>
      </c>
      <c r="D141" s="5" t="inlineStr">
        <is>
          <t>Préparation et périmètre</t>
        </is>
      </c>
      <c r="E141" s="5" t="inlineStr">
        <is>
          <t>Story</t>
        </is>
      </c>
      <c r="F141" s="5" t="inlineStr">
        <is>
          <t>Tableau de préparation du semestre</t>
        </is>
      </c>
      <c r="G141" s="5" t="inlineStr">
        <is>
          <t>GET /semestres/{id}/preparation : contrôles avant génération avec niveau, objet, règle, explication, action et lien.</t>
        </is>
      </c>
      <c r="H141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1" s="5" t="inlineStr">
        <is>
          <t>EX-GEN-03</t>
        </is>
      </c>
      <c r="J141" s="5" t="inlineStr">
        <is>
          <t>§4.12</t>
        </is>
      </c>
      <c r="K141" s="5" t="inlineStr">
        <is>
          <t>FULL</t>
        </is>
      </c>
      <c r="L141" s="5" t="inlineStr">
        <is>
          <t>Must</t>
        </is>
      </c>
      <c r="M141" s="5" t="n">
        <v>8</v>
      </c>
      <c r="N141" s="5" t="inlineStr">
        <is>
          <t>L2-12, L1-18, L3-05, L3-36, L3-43, L4-10</t>
        </is>
      </c>
      <c r="O141" s="5" t="inlineStr">
        <is>
          <t>À faire</t>
        </is>
      </c>
      <c r="P141" s="5" t="inlineStr"/>
    </row>
    <row r="142">
      <c r="A142" s="5" t="inlineStr">
        <is>
          <t>L4-13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Périmètre explicite et empreinte</t>
        </is>
      </c>
      <c r="G142" s="5" t="inlineStr">
        <is>
          <t>GET /versions/{id}/perimetre : périmètre figé du semestre complet et empreinte ; refus du lancement si les données ont changé.</t>
        </is>
      </c>
      <c r="H142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2" s="5" t="inlineStr">
        <is>
          <t>EX-GEN-02</t>
        </is>
      </c>
      <c r="J142" s="5" t="inlineStr">
        <is>
          <t>§4.12, §3.4.5</t>
        </is>
      </c>
      <c r="K142" s="5" t="inlineStr">
        <is>
          <t>BACK</t>
        </is>
      </c>
      <c r="L142" s="5" t="inlineStr">
        <is>
          <t>Must</t>
        </is>
      </c>
      <c r="M142" s="5" t="n">
        <v>5</v>
      </c>
      <c r="N142" s="5" t="inlineStr">
        <is>
          <t>L4-12, L3-09</t>
        </is>
      </c>
      <c r="O142" s="5" t="inlineStr">
        <is>
          <t>À faire</t>
        </is>
      </c>
      <c r="P142" s="5" t="inlineStr"/>
    </row>
    <row r="143">
      <c r="A143" s="5" t="inlineStr">
        <is>
          <t>L4-14</t>
        </is>
      </c>
      <c r="B143" s="5" t="inlineStr">
        <is>
          <t>L4</t>
        </is>
      </c>
      <c r="C143" s="5" t="inlineStr">
        <is>
          <t>E4.6</t>
        </is>
      </c>
      <c r="D143" s="5" t="inlineStr">
        <is>
          <t>API de génération</t>
        </is>
      </c>
      <c r="E143" s="5" t="inlineStr">
        <is>
          <t>Story</t>
        </is>
      </c>
      <c r="F143" s="5" t="inlineStr">
        <is>
          <t>Lancement de génération</t>
        </is>
      </c>
      <c r="G143" s="5" t="inlineStr">
        <is>
          <t>POST /versions/{id}/generations (202).</t>
        </is>
      </c>
      <c r="H143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3" s="5" t="inlineStr">
        <is>
          <t>EX-GEN-04, EX-GEN-05, EX-GEN-02</t>
        </is>
      </c>
      <c r="J143" s="5" t="inlineStr">
        <is>
          <t>§3.4.5, §4.6.1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L4-06, L4-07, L3-19, L4-13, L4-10</t>
        </is>
      </c>
      <c r="O143" s="5" t="inlineStr">
        <is>
          <t>À faire</t>
        </is>
      </c>
      <c r="P143" s="5" t="inlineStr"/>
    </row>
    <row r="144">
      <c r="A144" s="5" t="inlineStr">
        <is>
          <t>L4-15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Suivi, annulation et fichier moteur</t>
        </is>
      </c>
      <c r="G144" s="5" t="inlineStr">
        <is>
          <t>Suivi par SSE, annulation, téléchargement du fichier moteur ; progression via le fichier sigwrite.</t>
        </is>
      </c>
      <c r="H144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4" s="5" t="inlineStr">
        <is>
          <t>EX-GEN-04, EX-GEN-06</t>
        </is>
      </c>
      <c r="J144" s="5" t="inlineStr">
        <is>
          <t>§3.5, §4.6.7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L4-14</t>
        </is>
      </c>
      <c r="O144" s="5" t="inlineStr">
        <is>
          <t>À faire</t>
        </is>
      </c>
      <c r="P144" s="5" t="inlineStr"/>
    </row>
    <row r="145">
      <c r="A145" s="5" t="inlineStr">
        <is>
          <t>L4-16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Export du fichier moteur et import d'un résultat manuel</t>
        </is>
      </c>
      <c r="G145" s="5" t="inlineStr">
        <is>
          <t>POST /versions/{id}/generations/import : résultat d'un fichier exporté et relancé à la main dans FET.</t>
        </is>
      </c>
      <c r="H145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5" s="5" t="inlineStr">
        <is>
          <t>EX-MOT-07</t>
        </is>
      </c>
      <c r="J145" s="5" t="inlineStr">
        <is>
          <t>§4.6.7, §3.4.22</t>
        </is>
      </c>
      <c r="K145" s="5" t="inlineStr">
        <is>
          <t>BACK</t>
        </is>
      </c>
      <c r="L145" s="5" t="inlineStr">
        <is>
          <t>Should</t>
        </is>
      </c>
      <c r="M145" s="5" t="n">
        <v>5</v>
      </c>
      <c r="N145" s="5" t="inlineStr">
        <is>
          <t>L4-15, L4-09</t>
        </is>
      </c>
      <c r="O145" s="5" t="inlineStr">
        <is>
          <t>À faire</t>
        </is>
      </c>
      <c r="P145" s="5" t="inlineStr"/>
    </row>
    <row r="146">
      <c r="A146" s="5" t="inlineStr">
        <is>
          <t>L4-17</t>
        </is>
      </c>
      <c r="B146" s="5" t="inlineStr">
        <is>
          <t>L4</t>
        </is>
      </c>
      <c r="C146" s="5" t="inlineStr">
        <is>
          <t>E4.7</t>
        </is>
      </c>
      <c r="D146" s="5" t="inlineStr">
        <is>
          <t>Comparaison &amp; adoption</t>
        </is>
      </c>
      <c r="E146" s="5" t="inlineStr">
        <is>
          <t>Story</t>
        </is>
      </c>
      <c r="F146" s="5" t="inlineStr">
        <is>
          <t>Métriques de génération et score 0-100</t>
        </is>
      </c>
      <c r="G146" s="5" t="inlineStr">
        <is>
          <t>Utilisation des salles, répartition temporelle, creux, score normalisé par critère, renormalisation des poids.</t>
        </is>
      </c>
      <c r="H146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6" s="5" t="inlineStr">
        <is>
          <t>EX-CMP-02, EX-GEN-06, EX-MOT-06</t>
        </is>
      </c>
      <c r="J146" s="5" t="inlineStr">
        <is>
          <t>§4.7, §4.6.6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L4-09, L3-27, L3-35, L3-41</t>
        </is>
      </c>
      <c r="O146" s="5" t="inlineStr">
        <is>
          <t>À faire</t>
        </is>
      </c>
      <c r="P146" s="5" t="inlineStr"/>
    </row>
    <row r="147">
      <c r="A147" s="5" t="inlineStr">
        <is>
          <t>L4-18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Comparaison et diff de générations</t>
        </is>
      </c>
      <c r="G147" s="5" t="inlineStr">
        <is>
          <t>GET /generations/compare?ids= (2 à 4).</t>
        </is>
      </c>
      <c r="H147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7" s="5" t="inlineStr">
        <is>
          <t>EX-CMP-01</t>
        </is>
      </c>
      <c r="J147" s="5" t="inlineStr">
        <is>
          <t>§4.7, §3.4.7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L4-17</t>
        </is>
      </c>
      <c r="O147" s="5" t="inlineStr">
        <is>
          <t>À faire</t>
        </is>
      </c>
      <c r="P147" s="5" t="inlineStr"/>
    </row>
    <row r="148">
      <c r="A148" s="5" t="inlineStr">
        <is>
          <t>L4-19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Adoption d'une génération</t>
        </is>
      </c>
      <c r="G148" s="5" t="inlineStr">
        <is>
          <t>POST /versions/{id}/adopt.</t>
        </is>
      </c>
      <c r="H148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8" s="5" t="inlineStr">
        <is>
          <t>EX-CMP-03, EX-PRI-04, EX-GEN-05</t>
        </is>
      </c>
      <c r="J148" s="5" t="inlineStr">
        <is>
          <t>§3.4.8, §4.7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L4-18</t>
        </is>
      </c>
      <c r="O148" s="5" t="inlineStr">
        <is>
          <t>À faire</t>
        </is>
      </c>
      <c r="P148" s="5" t="inlineStr"/>
    </row>
    <row r="149">
      <c r="A149" s="5" t="inlineStr">
        <is>
          <t>L4-20</t>
        </is>
      </c>
      <c r="B149" s="5" t="inlineStr">
        <is>
          <t>L4</t>
        </is>
      </c>
      <c r="C149" s="5" t="inlineStr">
        <is>
          <t>E4.8</t>
        </is>
      </c>
      <c r="D149" s="5" t="inlineStr">
        <is>
          <t>UI génération</t>
        </is>
      </c>
      <c r="E149" s="5" t="inlineStr">
        <is>
          <t>Story</t>
        </is>
      </c>
      <c r="F149" s="5" t="inlineStr">
        <is>
          <t>UI lancement et suivi</t>
        </is>
      </c>
      <c r="G149" s="5" t="inlineStr">
        <is>
          <t>Périmètre, profil, rapport de traduction, confirmation, suivi SSE.</t>
        </is>
      </c>
      <c r="H149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49" s="5" t="inlineStr">
        <is>
          <t>EX-GEN-02, EX-GEN-04</t>
        </is>
      </c>
      <c r="J149" s="5" t="inlineStr">
        <is>
          <t>§3.4.5, §3.5</t>
        </is>
      </c>
      <c r="K149" s="5" t="inlineStr">
        <is>
          <t>FRONT</t>
        </is>
      </c>
      <c r="L149" s="5" t="inlineStr">
        <is>
          <t>Must</t>
        </is>
      </c>
      <c r="M149" s="5" t="n">
        <v>8</v>
      </c>
      <c r="N149" s="5" t="inlineStr">
        <is>
          <t>L4-15, L0-28</t>
        </is>
      </c>
      <c r="O149" s="5" t="inlineStr">
        <is>
          <t>À faire</t>
        </is>
      </c>
      <c r="P149" s="5" t="inlineStr"/>
    </row>
    <row r="150">
      <c r="A150" s="5" t="inlineStr">
        <is>
          <t>L4-21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comparaison et adoption</t>
        </is>
      </c>
      <c r="G150" s="5" t="inlineStr">
        <is>
          <t>Tableau de métriques, score par critère, diff visuel, adoption.</t>
        </is>
      </c>
      <c r="H150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0" s="5" t="inlineStr">
        <is>
          <t>EX-CMP-01, EX-CMP-02, EX-CMP-03</t>
        </is>
      </c>
      <c r="J150" s="5" t="inlineStr">
        <is>
          <t>§4.7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L4-19, L0-28</t>
        </is>
      </c>
      <c r="O150" s="5" t="inlineStr">
        <is>
          <t>À faire</t>
        </is>
      </c>
      <c r="P150" s="5" t="inlineStr"/>
    </row>
    <row r="151">
      <c r="A151" s="5" t="inlineStr">
        <is>
          <t>L4-22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Régénération partielle</t>
        </is>
      </c>
      <c r="G151" s="5" t="inlineStr">
        <is>
          <t>Séances verrouillées imposées à la génération suivante.</t>
        </is>
      </c>
      <c r="H151" s="5" t="inlineStr">
        <is>
          <t>- Les séances verrouillées gardent leur position après régénération
- Option preserverVerrouilles du profil respectée</t>
        </is>
      </c>
      <c r="I151" s="5" t="inlineStr">
        <is>
          <t>EX-VRR-01</t>
        </is>
      </c>
      <c r="J151" s="5" t="inlineStr">
        <is>
          <t>§4.14</t>
        </is>
      </c>
      <c r="K151" s="5" t="inlineStr">
        <is>
          <t>BACK</t>
        </is>
      </c>
      <c r="L151" s="5" t="inlineStr">
        <is>
          <t>Should</t>
        </is>
      </c>
      <c r="M151" s="5" t="n">
        <v>5</v>
      </c>
      <c r="N151" s="5" t="inlineStr">
        <is>
          <t>L4-05, L4-19</t>
        </is>
      </c>
      <c r="O151" s="5" t="inlineStr">
        <is>
          <t>À faire</t>
        </is>
      </c>
      <c r="P151" s="5" t="inlineStr"/>
    </row>
    <row r="152">
      <c r="A152" s="5" t="inlineStr">
        <is>
          <t>L4-23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export du fichier moteur et import manuel</t>
        </is>
      </c>
      <c r="G152" s="5" t="inlineStr">
        <is>
          <t>Téléchargement du fichier moteur, dépôt du résultat d'une exécution manuelle.</t>
        </is>
      </c>
      <c r="H152" s="5" t="inlineStr">
        <is>
          <t>- L'empreinte attendue est affichée
- Le résultat importé apparaît dans l'historique avec le mode manuel</t>
        </is>
      </c>
      <c r="I152" s="5" t="inlineStr">
        <is>
          <t>EX-MOT-07</t>
        </is>
      </c>
      <c r="J152" s="5" t="inlineStr">
        <is>
          <t>§4.6.7</t>
        </is>
      </c>
      <c r="K152" s="5" t="inlineStr">
        <is>
          <t>FRONT</t>
        </is>
      </c>
      <c r="L152" s="5" t="inlineStr">
        <is>
          <t>Should</t>
        </is>
      </c>
      <c r="M152" s="5" t="n">
        <v>3</v>
      </c>
      <c r="N152" s="5" t="inlineStr">
        <is>
          <t>L4-16, L0-28</t>
        </is>
      </c>
      <c r="O152" s="5" t="inlineStr">
        <is>
          <t>À faire</t>
        </is>
      </c>
      <c r="P152" s="5" t="inlineStr"/>
    </row>
    <row r="153">
      <c r="A153" s="5" t="inlineStr">
        <is>
          <t>L4-24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historique des générations</t>
        </is>
      </c>
      <c r="G153" s="5" t="inlineStr">
        <is>
          <t>Historique, snapshot, provenance, journaux, génération échouée conservée.</t>
        </is>
      </c>
      <c r="H153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3" s="5" t="inlineStr">
        <is>
          <t>EX-GEN-06, EX-GEN-07</t>
        </is>
      </c>
      <c r="J153" s="5" t="inlineStr">
        <is>
          <t>§4.6.5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L4-15, L0-28</t>
        </is>
      </c>
      <c r="O153" s="5" t="inlineStr">
        <is>
          <t>À faire</t>
        </is>
      </c>
      <c r="P153" s="5" t="inlineStr"/>
    </row>
    <row r="154">
      <c r="A154" s="5" t="inlineStr">
        <is>
          <t>L5-01</t>
        </is>
      </c>
      <c r="B154" s="5" t="inlineStr">
        <is>
          <t>L5</t>
        </is>
      </c>
      <c r="C154" s="5" t="inlineStr">
        <is>
          <t>E5.1</t>
        </is>
      </c>
      <c r="D154" s="5" t="inlineStr">
        <is>
          <t>Machine d'états des versions</t>
        </is>
      </c>
      <c r="E154" s="5" t="inlineStr">
        <is>
          <t>Story</t>
        </is>
      </c>
      <c r="F154" s="5" t="inlineStr">
        <is>
          <t>Machine d'états et transitions</t>
        </is>
      </c>
      <c r="G154" s="5" t="inlineStr">
        <is>
          <t>POST /versions/{id}/transitions.</t>
        </is>
      </c>
      <c r="H154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4" s="5" t="inlineStr">
        <is>
          <t>EX-WFL-01</t>
        </is>
      </c>
      <c r="J154" s="5" t="inlineStr">
        <is>
          <t>§4.1.1, §3.4.11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L3-30, L0-19, L3-39</t>
        </is>
      </c>
      <c r="O154" s="5" t="inlineStr">
        <is>
          <t>À faire</t>
        </is>
      </c>
      <c r="P154" s="5" t="inlineStr"/>
    </row>
    <row r="155">
      <c r="A155" s="5" t="inlineStr">
        <is>
          <t>L5-02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Contrôle de soumission</t>
        </is>
      </c>
      <c r="G155" s="5" t="inlineStr">
        <is>
          <t>Recontrôle conflits et couverture avant MARQUER_PRET, SOUMETTRE, RESOUMETTRE, PUBLIER.</t>
        </is>
      </c>
      <c r="H155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5" s="5" t="inlineStr">
        <is>
          <t>EX-WFL-01, EX-EDI-05</t>
        </is>
      </c>
      <c r="J155" s="5" t="inlineStr">
        <is>
          <t>§3.4.11, §4.1.1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L5-01</t>
        </is>
      </c>
      <c r="O155" s="5" t="inlineStr">
        <is>
          <t>À faire</t>
        </is>
      </c>
      <c r="P155" s="5" t="inlineStr"/>
    </row>
    <row r="156">
      <c r="A156" s="5" t="inlineStr">
        <is>
          <t>L5-03</t>
        </is>
      </c>
      <c r="B156" s="5" t="inlineStr">
        <is>
          <t>L5</t>
        </is>
      </c>
      <c r="C156" s="5" t="inlineStr">
        <is>
          <t>E5.2</t>
        </is>
      </c>
      <c r="D156" s="5" t="inlineStr">
        <is>
          <t>Validation par les Responsables</t>
        </is>
      </c>
      <c r="E156" s="5" t="inlineStr">
        <is>
          <t>Story</t>
        </is>
      </c>
      <c r="F156" s="5" t="inlineStr">
        <is>
          <t>Analyse d'impact et report des approbations</t>
        </is>
      </c>
      <c r="G156" s="5" t="inlineStr">
        <is>
          <t>Calcul du statut IMPACTE ou NON_IMPACTE par département ; report des approbations non impactées ; GET /versions/{id}/impact.</t>
        </is>
      </c>
      <c r="H156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6" s="5" t="inlineStr">
        <is>
          <t>EX-WFL-04</t>
        </is>
      </c>
      <c r="J156" s="5" t="inlineStr">
        <is>
          <t>§4.13, §3.4.17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L5-02, L3-10</t>
        </is>
      </c>
      <c r="O156" s="5" t="inlineStr">
        <is>
          <t>À faire</t>
        </is>
      </c>
      <c r="P156" s="5" t="inlineStr"/>
    </row>
    <row r="157">
      <c r="A157" s="5" t="inlineStr">
        <is>
          <t>L5-04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Décisions de validation par département</t>
        </is>
      </c>
      <c r="G157" s="5" t="inlineStr">
        <is>
          <t>POST /versions/{id}/validations ; décision du Responsable ou de l'Administrateur pour un département nommé.</t>
        </is>
      </c>
      <c r="H157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7" s="5" t="inlineStr">
        <is>
          <t>EX-WFL-03, EX-ROL-06</t>
        </is>
      </c>
      <c r="J157" s="5" t="inlineStr">
        <is>
          <t>§3.4.12, §4.1.1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L5-03, L0-21</t>
        </is>
      </c>
      <c r="O157" s="5" t="inlineStr">
        <is>
          <t>À faire</t>
        </is>
      </c>
      <c r="P157" s="5" t="inlineStr"/>
    </row>
    <row r="158">
      <c r="A158" s="5" t="inlineStr">
        <is>
          <t>L5-05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UI validation par les Responsables</t>
        </is>
      </c>
      <c r="G158" s="5" t="inlineStr">
        <is>
          <t>Consultation de la version du département, conflits, avertissements, approbation ou rejet.</t>
        </is>
      </c>
      <c r="H158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8" s="5" t="inlineStr">
        <is>
          <t>EX-WFL-03</t>
        </is>
      </c>
      <c r="J158" s="5" t="inlineStr">
        <is>
          <t>§3.4.12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L5-04, L0-28</t>
        </is>
      </c>
      <c r="O158" s="5" t="inlineStr">
        <is>
          <t>À faire</t>
        </is>
      </c>
      <c r="P158" s="5" t="inlineStr"/>
    </row>
    <row r="159">
      <c r="A159" s="5" t="inlineStr">
        <is>
          <t>L5-06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synthèse d'impact</t>
        </is>
      </c>
      <c r="G159" s="5" t="inlineStr">
        <is>
          <t>Séances modifiées, enseignants et départements concernés, statut par département avec raison.</t>
        </is>
      </c>
      <c r="H159" s="5" t="inlineStr">
        <is>
          <t>- Affichée à la création de la version, avant une régénération et à la soumission
- Chaque statut cite sa raison</t>
        </is>
      </c>
      <c r="I159" s="5" t="inlineStr">
        <is>
          <t>EX-WFL-04</t>
        </is>
      </c>
      <c r="J159" s="5" t="inlineStr">
        <is>
          <t>§3.4.17</t>
        </is>
      </c>
      <c r="K159" s="5" t="inlineStr">
        <is>
          <t>FRONT</t>
        </is>
      </c>
      <c r="L159" s="5" t="inlineStr">
        <is>
          <t>Must</t>
        </is>
      </c>
      <c r="M159" s="5" t="n">
        <v>3</v>
      </c>
      <c r="N159" s="5" t="inlineStr">
        <is>
          <t>L5-03, L0-28</t>
        </is>
      </c>
      <c r="O159" s="5" t="inlineStr">
        <is>
          <t>À faire</t>
        </is>
      </c>
      <c r="P159" s="5" t="inlineStr"/>
    </row>
    <row r="160">
      <c r="A160" s="5" t="inlineStr">
        <is>
          <t>L5-07</t>
        </is>
      </c>
      <c r="B160" s="5" t="inlineStr">
        <is>
          <t>L5</t>
        </is>
      </c>
      <c r="C160" s="5" t="inlineStr">
        <is>
          <t>E5.3</t>
        </is>
      </c>
      <c r="D160" s="5" t="inlineStr">
        <is>
          <t>Publication &amp; révisions</t>
        </is>
      </c>
      <c r="E160" s="5" t="inlineStr">
        <is>
          <t>Story</t>
        </is>
      </c>
      <c r="F160" s="5" t="inlineStr">
        <is>
          <t>Publication atomique</t>
        </is>
      </c>
      <c r="G160" s="5" t="inlineStr">
        <is>
          <t>POST /versions/{id}/publish par le Gestionnaire ou l'Administrateur.</t>
        </is>
      </c>
      <c r="H160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0" s="5" t="inlineStr">
        <is>
          <t>EX-WFL-05</t>
        </is>
      </c>
      <c r="J160" s="5" t="inlineStr">
        <is>
          <t>§4.1.1, §3.4.13</t>
        </is>
      </c>
      <c r="K160" s="5" t="inlineStr">
        <is>
          <t>BACK</t>
        </is>
      </c>
      <c r="L160" s="5" t="inlineStr">
        <is>
          <t>Must</t>
        </is>
      </c>
      <c r="M160" s="5" t="n">
        <v>5</v>
      </c>
      <c r="N160" s="5" t="inlineStr">
        <is>
          <t>L5-04, L1-22</t>
        </is>
      </c>
      <c r="O160" s="5" t="inlineStr">
        <is>
          <t>À faire</t>
        </is>
      </c>
      <c r="P160" s="5" t="inlineStr"/>
    </row>
    <row r="161">
      <c r="A161" s="5" t="inlineStr">
        <is>
          <t>L5-08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Prévisualisation avant publication</t>
        </is>
      </c>
      <c r="G161" s="5" t="inlineStr">
        <is>
          <t>GET /versions/{id}/previsualisation-publication et confirmation explicite.</t>
        </is>
      </c>
      <c r="H161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1" s="5" t="inlineStr">
        <is>
          <t>EX-WFL-09</t>
        </is>
      </c>
      <c r="J161" s="5" t="inlineStr">
        <is>
          <t>§3.3, §4.1.1.1</t>
        </is>
      </c>
      <c r="K161" s="5" t="inlineStr">
        <is>
          <t>FULL</t>
        </is>
      </c>
      <c r="L161" s="5" t="inlineStr">
        <is>
          <t>Must</t>
        </is>
      </c>
      <c r="M161" s="5" t="n">
        <v>5</v>
      </c>
      <c r="N161" s="5" t="inlineStr">
        <is>
          <t>L5-07, L3-39</t>
        </is>
      </c>
      <c r="O161" s="5" t="inlineStr">
        <is>
          <t>À faire</t>
        </is>
      </c>
      <c r="P161" s="5" t="inlineStr"/>
    </row>
    <row r="162">
      <c r="A162" s="5" t="inlineStr">
        <is>
          <t>L5-09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Historique de version</t>
        </is>
      </c>
      <c r="G162" s="5" t="inlineStr">
        <is>
          <t>GET /versions/{id}/history et chronologie.</t>
        </is>
      </c>
      <c r="H162" s="5" t="inlineStr">
        <is>
          <t>- Transitions et décisions affichées avec auteur, date, motif, mention automatique ou reportée</t>
        </is>
      </c>
      <c r="I162" s="5" t="inlineStr">
        <is>
          <t>EX-WFL-07</t>
        </is>
      </c>
      <c r="J162" s="5" t="inlineStr">
        <is>
          <t>§3.3</t>
        </is>
      </c>
      <c r="K162" s="5" t="inlineStr">
        <is>
          <t>FULL</t>
        </is>
      </c>
      <c r="L162" s="5" t="inlineStr">
        <is>
          <t>Should</t>
        </is>
      </c>
      <c r="M162" s="5" t="n">
        <v>3</v>
      </c>
      <c r="N162" s="5" t="inlineStr">
        <is>
          <t>L5-01, L0-28</t>
        </is>
      </c>
      <c r="O162" s="5" t="inlineStr">
        <is>
          <t>À faire</t>
        </is>
      </c>
      <c r="P162" s="5" t="inlineStr"/>
    </row>
    <row r="163">
      <c r="A163" s="5" t="inlineStr">
        <is>
          <t>L5-10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Nouvelle révision d'une version publiée</t>
        </is>
      </c>
      <c r="G163" s="5" t="inlineStr">
        <is>
          <t>POST /versions/{id}/new-revision.</t>
        </is>
      </c>
      <c r="H163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3" s="5" t="inlineStr">
        <is>
          <t>EX-WFL-06, EX-PRI-03</t>
        </is>
      </c>
      <c r="J163" s="5" t="inlineStr">
        <is>
          <t>§4.1.1, §0.3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L5-07, L3-36</t>
        </is>
      </c>
      <c r="O163" s="5" t="inlineStr">
        <is>
          <t>À faire</t>
        </is>
      </c>
      <c r="P163" s="5" t="inlineStr"/>
    </row>
    <row r="164">
      <c r="A164" s="5" t="inlineStr">
        <is>
          <t>L5-11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Différences entre versions</t>
        </is>
      </c>
      <c r="G164" s="5" t="inlineStr">
        <is>
          <t>GET /versions/{id}/diff?against= et affichage.</t>
        </is>
      </c>
      <c r="H164" s="5" t="inlineStr">
        <is>
          <t>- Séances identiques, déplacées, changées de salle ou d'enseignant
- Affichage visuel du diff</t>
        </is>
      </c>
      <c r="I164" s="5" t="inlineStr">
        <is>
          <t>EX-WFL-06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5</v>
      </c>
      <c r="N164" s="5" t="inlineStr">
        <is>
          <t>L5-10</t>
        </is>
      </c>
      <c r="O164" s="5" t="inlineStr">
        <is>
          <t>À faire</t>
        </is>
      </c>
      <c r="P164" s="5" t="inlineStr"/>
    </row>
    <row r="165">
      <c r="A165" s="5" t="inlineStr">
        <is>
          <t>L5-12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Provenance et versionnement des objets critiques</t>
        </is>
      </c>
      <c r="G165" s="5" t="inlineStr">
        <is>
          <t>Chaîne version → génération → profil → jeu de règles → snapshot → adaptateur ; question « pourquoi ce créneau ? ».</t>
        </is>
      </c>
      <c r="H165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5" s="5" t="inlineStr">
        <is>
          <t>EX-WFL-07, EX-DAT-02, EX-PRI-07</t>
        </is>
      </c>
      <c r="J165" s="5" t="inlineStr">
        <is>
          <t>§2.2, §4.1.1.1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L4-17</t>
        </is>
      </c>
      <c r="O165" s="5" t="inlineStr">
        <is>
          <t>À faire</t>
        </is>
      </c>
      <c r="P165" s="5" t="inlineStr"/>
    </row>
    <row r="166">
      <c r="A166" s="5" t="inlineStr">
        <is>
          <t>L5-13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Impact d'un changement de règle</t>
        </is>
      </c>
      <c r="G166" s="5" t="inlineStr">
        <is>
          <t>Identification des versions concernées et des plannings potentiellement obsolètes lors d'une modification de règle ou de contrainte.</t>
        </is>
      </c>
      <c r="H166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6" s="5" t="inlineStr">
        <is>
          <t>EX-DAT-03</t>
        </is>
      </c>
      <c r="J166" s="5" t="inlineStr">
        <is>
          <t>§4.19</t>
        </is>
      </c>
      <c r="K166" s="5" t="inlineStr">
        <is>
          <t>BACK</t>
        </is>
      </c>
      <c r="L166" s="5" t="inlineStr">
        <is>
          <t>Should</t>
        </is>
      </c>
      <c r="M166" s="5" t="n">
        <v>5</v>
      </c>
      <c r="N166" s="5" t="inlineStr">
        <is>
          <t>L5-12, L3-03</t>
        </is>
      </c>
      <c r="O166" s="5" t="inlineStr">
        <is>
          <t>À faire</t>
        </is>
      </c>
      <c r="P166" s="5" t="inlineStr"/>
    </row>
    <row r="167">
      <c r="A167" s="5" t="inlineStr">
        <is>
          <t>L5-14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Modification de contraintes après validation</t>
        </is>
      </c>
      <c r="G167" s="5" t="inlineStr">
        <is>
          <t>Choix entre application immédiate et application à la prochaine génération ; régénération ou annulation.</t>
        </is>
      </c>
      <c r="H167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7" s="5" t="inlineStr">
        <is>
          <t>EX-WFL-08</t>
        </is>
      </c>
      <c r="J167" s="5" t="inlineStr">
        <is>
          <t>§4.1.1</t>
        </is>
      </c>
      <c r="K167" s="5" t="inlineStr">
        <is>
          <t>FULL</t>
        </is>
      </c>
      <c r="L167" s="5" t="inlineStr">
        <is>
          <t>Should</t>
        </is>
      </c>
      <c r="M167" s="5" t="n">
        <v>5</v>
      </c>
      <c r="N167" s="5" t="inlineStr">
        <is>
          <t>L5-10, L4-14, L3-17</t>
        </is>
      </c>
      <c r="O167" s="5" t="inlineStr">
        <is>
          <t>À faire</t>
        </is>
      </c>
      <c r="P167" s="5" t="inlineStr"/>
    </row>
    <row r="168">
      <c r="A168" s="5" t="inlineStr">
        <is>
          <t>L5-15</t>
        </is>
      </c>
      <c r="B168" s="5" t="inlineStr">
        <is>
          <t>L5</t>
        </is>
      </c>
      <c r="C168" s="5" t="inlineStr">
        <is>
          <t>E5.4</t>
        </is>
      </c>
      <c r="D168" s="5" t="inlineStr">
        <is>
          <t>UI workflow</t>
        </is>
      </c>
      <c r="E168" s="5" t="inlineStr">
        <is>
          <t>Story</t>
        </is>
      </c>
      <c r="F168" s="5" t="inlineStr">
        <is>
          <t>UI cycle de vie des versions</t>
        </is>
      </c>
      <c r="G168" s="5" t="inlineStr">
        <is>
          <t>Badges d'état et actions autorisées selon rôle et état.</t>
        </is>
      </c>
      <c r="H168" s="5" t="inlineStr">
        <is>
          <t>- Seules les actions permises sont proposées
- Libellés français issus du glossaire
- Confirmation globale à la soumission si des avertissements ne sont pas acceptés</t>
        </is>
      </c>
      <c r="I168" s="5" t="inlineStr">
        <is>
          <t>EX-WFL-01</t>
        </is>
      </c>
      <c r="J168" s="5" t="inlineStr">
        <is>
          <t>§4.1.1</t>
        </is>
      </c>
      <c r="K168" s="5" t="inlineStr">
        <is>
          <t>FRONT</t>
        </is>
      </c>
      <c r="L168" s="5" t="inlineStr">
        <is>
          <t>Must</t>
        </is>
      </c>
      <c r="M168" s="5" t="n">
        <v>5</v>
      </c>
      <c r="N168" s="5" t="inlineStr">
        <is>
          <t>L5-01, L0-28, L3-40</t>
        </is>
      </c>
      <c r="O168" s="5" t="inlineStr">
        <is>
          <t>À faire</t>
        </is>
      </c>
      <c r="P168" s="5" t="inlineStr"/>
    </row>
    <row r="169">
      <c r="A169" s="5" t="inlineStr">
        <is>
          <t>L5-16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Test</t>
        </is>
      </c>
      <c r="F169" s="5" t="inlineStr">
        <is>
          <t>E2E du workflow par rôle</t>
        </is>
      </c>
      <c r="G169" s="5" t="inlineStr">
        <is>
          <t>Playwright : Gestionnaire, Responsable, Administrateur, Direction.</t>
        </is>
      </c>
      <c r="H169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69" s="5" t="inlineStr">
        <is>
          <t>EX-NFR-07, EX-WFL-04</t>
        </is>
      </c>
      <c r="J169" s="5" t="inlineStr">
        <is>
          <t>§5.5</t>
        </is>
      </c>
      <c r="K169" s="5" t="inlineStr">
        <is>
          <t>QA</t>
        </is>
      </c>
      <c r="L169" s="5" t="inlineStr">
        <is>
          <t>Must</t>
        </is>
      </c>
      <c r="M169" s="5" t="n">
        <v>5</v>
      </c>
      <c r="N169" s="5" t="inlineStr">
        <is>
          <t>L5-05, L5-07</t>
        </is>
      </c>
      <c r="O169" s="5" t="inlineStr">
        <is>
          <t>À faire</t>
        </is>
      </c>
      <c r="P169" s="5" t="inlineStr"/>
    </row>
    <row r="170">
      <c r="A170" s="5" t="inlineStr">
        <is>
          <t>L5-17</t>
        </is>
      </c>
      <c r="B170" s="5" t="inlineStr">
        <is>
          <t>L5</t>
        </is>
      </c>
      <c r="C170" s="5" t="inlineStr">
        <is>
          <t>E5.5</t>
        </is>
      </c>
      <c r="D170" s="5" t="inlineStr">
        <is>
          <t>Circuit de validation configurable</t>
        </is>
      </c>
      <c r="E170" s="5" t="inlineStr">
        <is>
          <t>Story</t>
        </is>
      </c>
      <c r="F170" s="5" t="inlineStr">
        <is>
          <t>Paramètre global du workflow</t>
        </is>
      </c>
      <c r="G170" s="5" t="inlineStr">
        <is>
          <t>Modèle ParametreWorkflow (ligne unique) : validationPlanningRequise et publicationRequise. GET et PATCH /parametres/workflow.</t>
        </is>
      </c>
      <c r="H170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0" s="5" t="inlineStr">
        <is>
          <t>EX-WFL-02</t>
        </is>
      </c>
      <c r="J170" s="5" t="inlineStr">
        <is>
          <t>§2.2, §2.4, §4.1.1</t>
        </is>
      </c>
      <c r="K170" s="5" t="inlineStr">
        <is>
          <t>BACK</t>
        </is>
      </c>
      <c r="L170" s="5" t="inlineStr">
        <is>
          <t>Must</t>
        </is>
      </c>
      <c r="M170" s="5" t="n">
        <v>3</v>
      </c>
      <c r="N170" s="5" t="inlineStr">
        <is>
          <t>L5-01, L0-19</t>
        </is>
      </c>
      <c r="O170" s="5" t="inlineStr">
        <is>
          <t>À faire</t>
        </is>
      </c>
      <c r="P170" s="5" t="inlineStr"/>
    </row>
    <row r="171">
      <c r="A171" s="5" t="inlineStr">
        <is>
          <t>L5-18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Transitions selon le circuit figé</t>
        </is>
      </c>
      <c r="G171" s="5" t="inlineStr">
        <is>
          <t>SOUMETTRE et RESOUMETTRE copient les deux interrupteurs sur la version et appliquent le chemin direct ou automatique correspondant.</t>
        </is>
      </c>
      <c r="H171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1" s="5" t="inlineStr">
        <is>
          <t>EX-WFL-02</t>
        </is>
      </c>
      <c r="J171" s="5" t="inlineStr">
        <is>
          <t>§4.1.1, §3.4.11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L5-17, L5-07, L5-02</t>
        </is>
      </c>
      <c r="O171" s="5" t="inlineStr">
        <is>
          <t>À faire</t>
        </is>
      </c>
      <c r="P171" s="5" t="inlineStr"/>
    </row>
    <row r="172">
      <c r="A172" s="5" t="inlineStr">
        <is>
          <t>L5-19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UI paramétrage du circuit et adaptation du workflow</t>
        </is>
      </c>
      <c r="G172" s="5" t="inlineStr">
        <is>
          <t>Écran Administrateur pour les deux interrupteurs ; adaptation des écrans de validation et de soumission.</t>
        </is>
      </c>
      <c r="H172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2" s="5" t="inlineStr">
        <is>
          <t>EX-WFL-02</t>
        </is>
      </c>
      <c r="J172" s="5" t="inlineStr">
        <is>
          <t>§4.1.1</t>
        </is>
      </c>
      <c r="K172" s="5" t="inlineStr">
        <is>
          <t>FRONT</t>
        </is>
      </c>
      <c r="L172" s="5" t="inlineStr">
        <is>
          <t>Should</t>
        </is>
      </c>
      <c r="M172" s="5" t="n">
        <v>3</v>
      </c>
      <c r="N172" s="5" t="inlineStr">
        <is>
          <t>L5-17, L5-15</t>
        </is>
      </c>
      <c r="O172" s="5" t="inlineStr">
        <is>
          <t>À faire</t>
        </is>
      </c>
      <c r="P172" s="5" t="inlineStr"/>
    </row>
    <row r="173">
      <c r="A173" s="5" t="inlineStr">
        <is>
          <t>L5-20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Test</t>
        </is>
      </c>
      <c r="F173" s="5" t="inlineStr">
        <is>
          <t>Tests du circuit configurable</t>
        </is>
      </c>
      <c r="G173" s="5" t="inlineStr">
        <is>
          <t>Quatre configurations du circuit et gel des valeurs à la soumission.</t>
        </is>
      </c>
      <c r="H173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QA</t>
        </is>
      </c>
      <c r="L173" s="5" t="inlineStr">
        <is>
          <t>Must</t>
        </is>
      </c>
      <c r="M173" s="5" t="n">
        <v>3</v>
      </c>
      <c r="N173" s="5" t="inlineStr">
        <is>
          <t>L5-18</t>
        </is>
      </c>
      <c r="O173" s="5" t="inlineStr">
        <is>
          <t>À faire</t>
        </is>
      </c>
      <c r="P173" s="5" t="inlineStr"/>
    </row>
    <row r="174">
      <c r="A174" s="5" t="inlineStr">
        <is>
          <t>L5-21</t>
        </is>
      </c>
      <c r="B174" s="5" t="inlineStr">
        <is>
          <t>L5</t>
        </is>
      </c>
      <c r="C174" s="5" t="inlineStr">
        <is>
          <t>E5.6</t>
        </is>
      </c>
      <c r="D174" s="5" t="inlineStr">
        <is>
          <t>Notifications</t>
        </is>
      </c>
      <c r="E174" s="5" t="inlineStr">
        <is>
          <t>Story</t>
        </is>
      </c>
      <c r="F174" s="5" t="inlineStr">
        <is>
          <t>Modèle et service de notification</t>
        </is>
      </c>
      <c r="G174" s="5" t="inlineStr">
        <is>
          <t>Table Notification, service d'émission dans la transaction du use case, catalogue d'événements et destinataires.</t>
        </is>
      </c>
      <c r="H174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4" s="5" t="inlineStr">
        <is>
          <t>EX-NOT-03, EX-NOT-01</t>
        </is>
      </c>
      <c r="J174" s="5" t="inlineStr">
        <is>
          <t>§4.16, §1.7</t>
        </is>
      </c>
      <c r="K174" s="5" t="inlineStr">
        <is>
          <t>BACK</t>
        </is>
      </c>
      <c r="L174" s="5" t="inlineStr">
        <is>
          <t>Must</t>
        </is>
      </c>
      <c r="M174" s="5" t="n">
        <v>8</v>
      </c>
      <c r="N174" s="5" t="inlineStr">
        <is>
          <t>L5-01, L5-04, L2-12, L4-14, L2-15</t>
        </is>
      </c>
      <c r="O174" s="5" t="inlineStr">
        <is>
          <t>À faire</t>
        </is>
      </c>
      <c r="P174" s="5" t="inlineStr"/>
    </row>
    <row r="175">
      <c r="A175" s="5" t="inlineStr">
        <is>
          <t>L5-22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File e-mail et SMTP institutionnel</t>
        </is>
      </c>
      <c r="G175" s="5" t="inlineStr">
        <is>
          <t>Processeur de la file email dans l'API, envoi par SMTP cck.rnu.tn, reprises exponentielles, file d'échecs et alerte.</t>
        </is>
      </c>
      <c r="H175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5" s="5" t="inlineStr">
        <is>
          <t>EX-NOT-02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5</v>
      </c>
      <c r="N175" s="5" t="inlineStr">
        <is>
          <t>L5-21, L0-06</t>
        </is>
      </c>
      <c r="O175" s="5" t="inlineStr">
        <is>
          <t>À faire</t>
        </is>
      </c>
      <c r="P175" s="5" t="inlineStr"/>
    </row>
    <row r="176">
      <c r="A176" s="5" t="inlineStr">
        <is>
          <t>L5-23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Boîte de réception (API et SSE)</t>
        </is>
      </c>
      <c r="G176" s="5" t="inlineStr">
        <is>
          <t>GET /notifications, marquage lu, tout lire, SSE /notifications/events.</t>
        </is>
      </c>
      <c r="H176" s="5" t="inlineStr">
        <is>
          <t>- Historique lu et non lu avec compteur
- Mise à jour en direct par SSE
- Une notification ne se lit que par son destinataire</t>
        </is>
      </c>
      <c r="I176" s="5" t="inlineStr">
        <is>
          <t>EX-NOT-01</t>
        </is>
      </c>
      <c r="J176" s="5" t="inlineStr">
        <is>
          <t>§3.3, §3.5</t>
        </is>
      </c>
      <c r="K176" s="5" t="inlineStr">
        <is>
          <t>BACK</t>
        </is>
      </c>
      <c r="L176" s="5" t="inlineStr">
        <is>
          <t>Must</t>
        </is>
      </c>
      <c r="M176" s="5" t="n">
        <v>3</v>
      </c>
      <c r="N176" s="5" t="inlineStr">
        <is>
          <t>L5-21</t>
        </is>
      </c>
      <c r="O176" s="5" t="inlineStr">
        <is>
          <t>À faire</t>
        </is>
      </c>
      <c r="P176" s="5" t="inlineStr"/>
    </row>
    <row r="177">
      <c r="A177" s="5" t="inlineStr">
        <is>
          <t>L5-24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UI de la boîte de notifications</t>
        </is>
      </c>
      <c r="G177" s="5" t="inlineStr">
        <is>
          <t>Cloche, compteur, liste, marquage lu.</t>
        </is>
      </c>
      <c r="H177" s="5" t="inlineStr">
        <is>
          <t>- Le compteur se met à jour en direct
- Chaque notification mène à l'objet concerné</t>
        </is>
      </c>
      <c r="I177" s="5" t="inlineStr">
        <is>
          <t>EX-NOT-01</t>
        </is>
      </c>
      <c r="J177" s="5" t="inlineStr">
        <is>
          <t>§3.3</t>
        </is>
      </c>
      <c r="K177" s="5" t="inlineStr">
        <is>
          <t>FRONT</t>
        </is>
      </c>
      <c r="L177" s="5" t="inlineStr">
        <is>
          <t>Must</t>
        </is>
      </c>
      <c r="M177" s="5" t="n">
        <v>3</v>
      </c>
      <c r="N177" s="5" t="inlineStr">
        <is>
          <t>L5-23, L0-28</t>
        </is>
      </c>
      <c r="O177" s="5" t="inlineStr">
        <is>
          <t>À faire</t>
        </is>
      </c>
      <c r="P177" s="5" t="inlineStr"/>
    </row>
    <row r="178">
      <c r="A178" s="5" t="inlineStr">
        <is>
          <t>L5-25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Test</t>
        </is>
      </c>
      <c r="F178" s="5" t="inlineStr">
        <is>
          <t>Tests des notifications</t>
        </is>
      </c>
      <c r="G178" s="5" t="inlineStr">
        <is>
          <t>SMTP factice, scénarios d'échec et de reprise.</t>
        </is>
      </c>
      <c r="H178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8" s="5" t="inlineStr">
        <is>
          <t>EX-NOT-02, EX-NOT-03</t>
        </is>
      </c>
      <c r="J178" s="5" t="inlineStr">
        <is>
          <t>§5.5</t>
        </is>
      </c>
      <c r="K178" s="5" t="inlineStr">
        <is>
          <t>QA</t>
        </is>
      </c>
      <c r="L178" s="5" t="inlineStr">
        <is>
          <t>Must</t>
        </is>
      </c>
      <c r="M178" s="5" t="n">
        <v>3</v>
      </c>
      <c r="N178" s="5" t="inlineStr">
        <is>
          <t>L5-22</t>
        </is>
      </c>
      <c r="O178" s="5" t="inlineStr">
        <is>
          <t>À faire</t>
        </is>
      </c>
      <c r="P178" s="5" t="inlineStr"/>
    </row>
    <row r="179">
      <c r="A179" s="5" t="inlineStr">
        <is>
          <t>L5-26</t>
        </is>
      </c>
      <c r="B179" s="5" t="inlineStr">
        <is>
          <t>L5</t>
        </is>
      </c>
      <c r="C179" s="5" t="inlineStr">
        <is>
          <t>E5.7</t>
        </is>
      </c>
      <c r="D179" s="5" t="inlineStr">
        <is>
          <t>Tableau de bord</t>
        </is>
      </c>
      <c r="E179" s="5" t="inlineStr">
        <is>
          <t>Story</t>
        </is>
      </c>
      <c r="F179" s="5" t="inlineStr">
        <is>
          <t>API du tableau de bord et règles d'actions</t>
        </is>
      </c>
      <c r="G179" s="5" t="inlineStr">
        <is>
          <t>GET /tableau-de-bord : agrégation par rôle, actions prioritaires déterministes (cinq au plus).</t>
        </is>
      </c>
      <c r="H179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79" s="5" t="inlineStr">
        <is>
          <t>EX-TDB-01, EX-TDB-02</t>
        </is>
      </c>
      <c r="J179" s="5" t="inlineStr">
        <is>
          <t>§4.17, §3.4.20</t>
        </is>
      </c>
      <c r="K179" s="5" t="inlineStr">
        <is>
          <t>BACK</t>
        </is>
      </c>
      <c r="L179" s="5" t="inlineStr">
        <is>
          <t>Must</t>
        </is>
      </c>
      <c r="M179" s="5" t="n">
        <v>8</v>
      </c>
      <c r="N179" s="5" t="inlineStr">
        <is>
          <t>L4-12, L5-03, L5-23, L5-12, L2-10</t>
        </is>
      </c>
      <c r="O179" s="5" t="inlineStr">
        <is>
          <t>À faire</t>
        </is>
      </c>
      <c r="P179" s="5" t="inlineStr"/>
    </row>
    <row r="180">
      <c r="A180" s="5" t="inlineStr">
        <is>
          <t>L5-27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UI tableau de bord Gestionnaire et Administrateur</t>
        </is>
      </c>
      <c r="G180" s="5" t="inlineStr">
        <is>
          <t>Page d'accueil avec blocs, actions prioritaires et liens directs.</t>
        </is>
      </c>
      <c r="H180" s="5" t="inlineStr">
        <is>
          <t>- Chaque anomalie mène directement à l'objet à corriger
- Le tableau répond aux sept questions de la SF §18</t>
        </is>
      </c>
      <c r="I180" s="5" t="inlineStr">
        <is>
          <t>EX-TDB-01</t>
        </is>
      </c>
      <c r="J180" s="5" t="inlineStr">
        <is>
          <t>§4.17</t>
        </is>
      </c>
      <c r="K180" s="5" t="inlineStr">
        <is>
          <t>FRONT</t>
        </is>
      </c>
      <c r="L180" s="5" t="inlineStr">
        <is>
          <t>Must</t>
        </is>
      </c>
      <c r="M180" s="5" t="n">
        <v>8</v>
      </c>
      <c r="N180" s="5" t="inlineStr">
        <is>
          <t>L5-26, L0-28</t>
        </is>
      </c>
      <c r="O180" s="5" t="inlineStr">
        <is>
          <t>À faire</t>
        </is>
      </c>
      <c r="P180" s="5" t="inlineStr"/>
    </row>
    <row r="181">
      <c r="A181" s="5" t="inlineStr">
        <is>
          <t>L5-28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Responsable et Direction</t>
        </is>
      </c>
      <c r="G181" s="5" t="inlineStr">
        <is>
          <t>Responsable : répartitions, charges et alertes, validations, demandes. Direction : version publiée et exports.</t>
        </is>
      </c>
      <c r="H181" s="5" t="inlineStr">
        <is>
          <t>- Le Responsable ne voit que son département et le total inter-départements
- La Direction n'a aucune action d'écriture</t>
        </is>
      </c>
      <c r="I181" s="5" t="inlineStr">
        <is>
          <t>EX-TDB-02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5</v>
      </c>
      <c r="N181" s="5" t="inlineStr">
        <is>
          <t>L5-26, L0-28</t>
        </is>
      </c>
      <c r="O181" s="5" t="inlineStr">
        <is>
          <t>À faire</t>
        </is>
      </c>
      <c r="P181" s="5" t="inlineStr"/>
    </row>
    <row r="182">
      <c r="A182" s="5" t="inlineStr">
        <is>
          <t>L5-29</t>
        </is>
      </c>
      <c r="B182" s="5" t="inlineStr">
        <is>
          <t>L5</t>
        </is>
      </c>
      <c r="C182" s="5" t="inlineStr">
        <is>
          <t>E5.8</t>
        </is>
      </c>
      <c r="D182" s="5" t="inlineStr">
        <is>
          <t>Espace Direction</t>
        </is>
      </c>
      <c r="E182" s="5" t="inlineStr">
        <is>
          <t>Story</t>
        </is>
      </c>
      <c r="F182" s="5" t="inlineStr">
        <is>
          <t>Consultation par la Direction</t>
        </is>
      </c>
      <c r="G182" s="5" t="inlineStr">
        <is>
          <t>Accès en lecture seule aux plannings publiés et archivés, exports officiels, répartition, charges, contraintes et audit.</t>
        </is>
      </c>
      <c r="H182" s="5" t="inlineStr">
        <is>
          <t>- Aucune route d'écriture accessible
- Aucun accès aux versions de travail, aux générations, aux verrous ni au journal de sécurité
- Navigation dédiée dans l'interface</t>
        </is>
      </c>
      <c r="I182" s="5" t="inlineStr">
        <is>
          <t>EX-ROL-04</t>
        </is>
      </c>
      <c r="J182" s="5" t="inlineStr">
        <is>
          <t>§5.2</t>
        </is>
      </c>
      <c r="K182" s="5" t="inlineStr">
        <is>
          <t>FULL</t>
        </is>
      </c>
      <c r="L182" s="5" t="inlineStr">
        <is>
          <t>Must</t>
        </is>
      </c>
      <c r="M182" s="5" t="n">
        <v>5</v>
      </c>
      <c r="N182" s="5" t="inlineStr">
        <is>
          <t>L3-11, L0-23, L0-28</t>
        </is>
      </c>
      <c r="O182" s="5" t="inlineStr">
        <is>
          <t>À faire</t>
        </is>
      </c>
      <c r="P182" s="5" t="inlineStr"/>
    </row>
    <row r="183">
      <c r="A183" s="5" t="inlineStr">
        <is>
          <t>L6-01</t>
        </is>
      </c>
      <c r="B183" s="5" t="inlineStr">
        <is>
          <t>L6</t>
        </is>
      </c>
      <c r="C183" s="5" t="inlineStr">
        <is>
          <t>E6.1</t>
        </is>
      </c>
      <c r="D183" s="5" t="inlineStr">
        <is>
          <t>Spike PDF/Excel (S2)</t>
        </is>
      </c>
      <c r="E183" s="5" t="inlineStr">
        <is>
          <t>Spike</t>
        </is>
      </c>
      <c r="F183" s="5" t="inlineStr">
        <is>
          <t>Spike S2 : rendu PDF/Excel</t>
        </is>
      </c>
      <c r="G183" s="5" t="inlineStr">
        <is>
          <t>Polices françaises, taille et temps de rendu.</t>
        </is>
      </c>
      <c r="H183" s="5" t="inlineStr">
        <is>
          <t>- Comparatif Playwright et bibliothèque dédiée documenté
- ADR de choix et temps de rendu pour 100 pages
- Rendu lisible en noir et blanc (états par icône et libellé)</t>
        </is>
      </c>
      <c r="I183" s="5" t="inlineStr">
        <is>
          <t>EX-EXP-02</t>
        </is>
      </c>
      <c r="J183" s="5" t="inlineStr">
        <is>
          <t>§6.1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/>
      <c r="O183" s="5" t="inlineStr">
        <is>
          <t>À faire</t>
        </is>
      </c>
      <c r="P183" s="5" t="inlineStr"/>
    </row>
    <row r="184">
      <c r="A184" s="5" t="inlineStr">
        <is>
          <t>L6-02</t>
        </is>
      </c>
      <c r="B184" s="5" t="inlineStr">
        <is>
          <t>L6</t>
        </is>
      </c>
      <c r="C184" s="5" t="inlineStr">
        <is>
          <t>E6.2</t>
        </is>
      </c>
      <c r="D184" s="5" t="inlineStr">
        <is>
          <t>Modèles &amp; jobs d'export</t>
        </is>
      </c>
      <c r="E184" s="5" t="inlineStr">
        <is>
          <t>Story</t>
        </is>
      </c>
      <c r="F184" s="5" t="inlineStr">
        <is>
          <t>Modèles visuels d'export versionnés</t>
        </is>
      </c>
      <c r="G184" s="5" t="inlineStr">
        <is>
          <t>ExportStyle : logo(s), en-tête, pied de page, couleurs, orientation, format, éléments affichés ; versionné et immuable une fois utilisé.</t>
        </is>
      </c>
      <c r="H184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4" s="5" t="inlineStr">
        <is>
          <t>EX-EXP-04</t>
        </is>
      </c>
      <c r="J184" s="5" t="inlineStr">
        <is>
          <t>§4.18, §2.2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>
        <is>
          <t>L5-07</t>
        </is>
      </c>
      <c r="O184" s="5" t="inlineStr">
        <is>
          <t>À faire</t>
        </is>
      </c>
      <c r="P184" s="5" t="inlineStr"/>
    </row>
    <row r="185">
      <c r="A185" s="5" t="inlineStr">
        <is>
          <t>L6-03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Configurations de vue d'export versionnées</t>
        </is>
      </c>
      <c r="G185" s="5" t="inlineStr">
        <is>
          <t>ExportView : vue (groupe, enseignant, salle, formation, département, globale, charges), colonnes, ordre, feuilles, regroupements.</t>
        </is>
      </c>
      <c r="H185" s="5" t="inlineStr">
        <is>
          <t>- CRUD par le Gestionnaire et l'Administrateur
- Versionné et immuable une fois utilisé
- Les sept vues sont disponibles</t>
        </is>
      </c>
      <c r="I185" s="5" t="inlineStr">
        <is>
          <t>EX-EXP-04, EX-EXP-01</t>
        </is>
      </c>
      <c r="J185" s="5" t="inlineStr">
        <is>
          <t>§4.18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L6-02</t>
        </is>
      </c>
      <c r="O185" s="5" t="inlineStr">
        <is>
          <t>À faire</t>
        </is>
      </c>
      <c r="P185" s="5" t="inlineStr"/>
    </row>
    <row r="186">
      <c r="A186" s="5" t="inlineStr">
        <is>
          <t>L6-04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Jobs d'export asynchrones</t>
        </is>
      </c>
      <c r="G186" s="5" t="inlineStr">
        <is>
          <t>POST /exports, statut, téléchargement par URL signée.</t>
        </is>
      </c>
      <c r="H186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6" s="5" t="inlineStr">
        <is>
          <t>EX-EXP-06, EX-EXP-05</t>
        </is>
      </c>
      <c r="J186" s="5" t="inlineStr">
        <is>
          <t>§3.4.14, §4.18, §4.19</t>
        </is>
      </c>
      <c r="K186" s="5" t="inlineStr">
        <is>
          <t>BACK</t>
        </is>
      </c>
      <c r="L186" s="5" t="inlineStr">
        <is>
          <t>Must</t>
        </is>
      </c>
      <c r="M186" s="5" t="n">
        <v>8</v>
      </c>
      <c r="N186" s="5" t="inlineStr">
        <is>
          <t>L6-03, L0-07, L4-07, L0-18</t>
        </is>
      </c>
      <c r="O186" s="5" t="inlineStr">
        <is>
          <t>À faire</t>
        </is>
      </c>
      <c r="P186" s="5" t="inlineStr"/>
    </row>
    <row r="187">
      <c r="A187" s="5" t="inlineStr">
        <is>
          <t>L6-05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Brouillon, officiel, grille Ramadan et avertissements</t>
        </is>
      </c>
      <c r="G187" s="5" t="inlineStr">
        <is>
          <t>Export filigrané pour version non publiée, officiel pour PUBLIE ou ARCHIVE, choix de grille, avertissements acceptés.</t>
        </is>
      </c>
      <c r="H187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7" s="5" t="inlineStr">
        <is>
          <t>EX-EXP-05, EX-CAL-04</t>
        </is>
      </c>
      <c r="J187" s="5" t="inlineStr">
        <is>
          <t>§4.18, §4.1.1.1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L6-04, L3-39</t>
        </is>
      </c>
      <c r="O187" s="5" t="inlineStr">
        <is>
          <t>À faire</t>
        </is>
      </c>
      <c r="P187" s="5" t="inlineStr"/>
    </row>
    <row r="188">
      <c r="A188" s="5" t="inlineStr">
        <is>
          <t>L6-06</t>
        </is>
      </c>
      <c r="B188" s="5" t="inlineStr">
        <is>
          <t>L6</t>
        </is>
      </c>
      <c r="C188" s="5" t="inlineStr">
        <is>
          <t>E6.3</t>
        </is>
      </c>
      <c r="D188" s="5" t="inlineStr">
        <is>
          <t>Rendus XLSX/PDF</t>
        </is>
      </c>
      <c r="E188" s="5" t="inlineStr">
        <is>
          <t>Story</t>
        </is>
      </c>
      <c r="F188" s="5" t="inlineStr">
        <is>
          <t>Rendu XLSX</t>
        </is>
      </c>
      <c r="G188" s="5" t="inlineStr">
        <is>
          <t>ExcelJS : grilles par groupe, enseignant, salle, formation, département et vue globale ; structure configurable.</t>
        </is>
      </c>
      <c r="H188" s="5" t="inlineStr">
        <is>
          <t>- Grille jours/créneaux fidèle à la version
- Colonnes, feuilles, ordre et regroupements selon la configuration de vue
- Plusieurs objets par classeur</t>
        </is>
      </c>
      <c r="I188" s="5" t="inlineStr">
        <is>
          <t>EX-EXP-03</t>
        </is>
      </c>
      <c r="J188" s="5" t="inlineStr">
        <is>
          <t>§4.18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L6-04</t>
        </is>
      </c>
      <c r="O188" s="5" t="inlineStr">
        <is>
          <t>À faire</t>
        </is>
      </c>
      <c r="P188" s="5" t="inlineStr"/>
    </row>
    <row r="189">
      <c r="A189" s="5" t="inlineStr">
        <is>
          <t>L6-07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PDF</t>
        </is>
      </c>
      <c r="G189" s="5" t="inlineStr">
        <is>
          <t>HTML vers PDF (Playwright/Chromium), A4 ou A3, logo, orientation, couleurs, locale française.</t>
        </is>
      </c>
      <c r="H189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89" s="5" t="inlineStr">
        <is>
          <t>EX-EXP-02, EX-NFR-04</t>
        </is>
      </c>
      <c r="J189" s="5" t="inlineStr">
        <is>
          <t>§4.18, §5.4</t>
        </is>
      </c>
      <c r="K189" s="5" t="inlineStr">
        <is>
          <t>BACK</t>
        </is>
      </c>
      <c r="L189" s="5" t="inlineStr">
        <is>
          <t>Must</t>
        </is>
      </c>
      <c r="M189" s="5" t="n">
        <v>13</v>
      </c>
      <c r="N189" s="5" t="inlineStr">
        <is>
          <t>L6-04, L6-01, L0-05</t>
        </is>
      </c>
      <c r="O189" s="5" t="inlineStr">
        <is>
          <t>À faire</t>
        </is>
      </c>
      <c r="P189" s="5" t="inlineStr"/>
    </row>
    <row r="190">
      <c r="A190" s="5" t="inlineStr">
        <is>
          <t>L6-08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Export des charges</t>
        </is>
      </c>
      <c r="G190" s="5" t="inlineStr">
        <is>
          <t>Volume brut, charge calculée, charge de référence, service dû, écart et heures supplémentaires par enseignant et département.</t>
        </is>
      </c>
      <c r="H190" s="5" t="inlineStr">
        <is>
          <t>- Valeurs identiques à celles du snapshot de la version
- Heures supplémentaires et plafond mis en évidence
- Le Responsable n'exporte que son département</t>
        </is>
      </c>
      <c r="I190" s="5" t="inlineStr">
        <is>
          <t>EX-EXP-01, EX-EXP-06</t>
        </is>
      </c>
      <c r="J190" s="5" t="inlineStr">
        <is>
          <t>§4.2, §4.18</t>
        </is>
      </c>
      <c r="K190" s="5" t="inlineStr">
        <is>
          <t>BACK</t>
        </is>
      </c>
      <c r="L190" s="5" t="inlineStr">
        <is>
          <t>Should</t>
        </is>
      </c>
      <c r="M190" s="5" t="n">
        <v>5</v>
      </c>
      <c r="N190" s="5" t="inlineStr">
        <is>
          <t>L6-04, L2-10</t>
        </is>
      </c>
      <c r="O190" s="5" t="inlineStr">
        <is>
          <t>À faire</t>
        </is>
      </c>
      <c r="P190" s="5" t="inlineStr"/>
    </row>
    <row r="191">
      <c r="A191" s="5" t="inlineStr">
        <is>
          <t>L6-09</t>
        </is>
      </c>
      <c r="B191" s="5" t="inlineStr">
        <is>
          <t>L6</t>
        </is>
      </c>
      <c r="C191" s="5" t="inlineStr">
        <is>
          <t>E6.4</t>
        </is>
      </c>
      <c r="D191" s="5" t="inlineStr">
        <is>
          <t>UI exports</t>
        </is>
      </c>
      <c r="E191" s="5" t="inlineStr">
        <is>
          <t>Story</t>
        </is>
      </c>
      <c r="F191" s="5" t="inlineStr">
        <is>
          <t>UI exports</t>
        </is>
      </c>
      <c r="G191" s="5" t="inlineStr">
        <is>
          <t>Choix de la vue, du style, du périmètre, de la grille et du mode ; suivi et téléchargement.</t>
        </is>
      </c>
      <c r="H191" s="5" t="inlineStr">
        <is>
          <t>- Suivi de statut du job
- Téléchargement via URL signée
- Les choix proposés dépendent du rôle</t>
        </is>
      </c>
      <c r="I191" s="5" t="inlineStr">
        <is>
          <t>EX-EXP-05, EX-EXP-06</t>
        </is>
      </c>
      <c r="J191" s="5" t="inlineStr">
        <is>
          <t>§3.3</t>
        </is>
      </c>
      <c r="K191" s="5" t="inlineStr">
        <is>
          <t>FRONT</t>
        </is>
      </c>
      <c r="L191" s="5" t="inlineStr">
        <is>
          <t>Must</t>
        </is>
      </c>
      <c r="M191" s="5" t="n">
        <v>5</v>
      </c>
      <c r="N191" s="5" t="inlineStr">
        <is>
          <t>L6-04, L0-28</t>
        </is>
      </c>
      <c r="O191" s="5" t="inlineStr">
        <is>
          <t>À faire</t>
        </is>
      </c>
      <c r="P191" s="5" t="inlineStr"/>
    </row>
    <row r="192">
      <c r="A192" s="5" t="inlineStr">
        <is>
          <t>L6-10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modèles visuels et configurations de vue</t>
        </is>
      </c>
      <c r="G192" s="5" t="inlineStr">
        <is>
          <t>Édition des styles (Administrateur) et des vues (Gestionnaire et Administrateur) avec aperçu.</t>
        </is>
      </c>
      <c r="H192" s="5" t="inlineStr">
        <is>
          <t>- Aperçu avant enregistrement
- Un modèle utilisé se duplique en nouvelle version
- Seul l'Administrateur modifie les styles</t>
        </is>
      </c>
      <c r="I192" s="5" t="inlineStr">
        <is>
          <t>EX-EXP-04</t>
        </is>
      </c>
      <c r="J192" s="5" t="inlineStr">
        <is>
          <t>§4.18</t>
        </is>
      </c>
      <c r="K192" s="5" t="inlineStr">
        <is>
          <t>FRONT</t>
        </is>
      </c>
      <c r="L192" s="5" t="inlineStr">
        <is>
          <t>Should</t>
        </is>
      </c>
      <c r="M192" s="5" t="n">
        <v>5</v>
      </c>
      <c r="N192" s="5" t="inlineStr">
        <is>
          <t>L6-02, L6-03, L0-28</t>
        </is>
      </c>
      <c r="O192" s="5" t="inlineStr">
        <is>
          <t>À faire</t>
        </is>
      </c>
      <c r="P192" s="5" t="inlineStr"/>
    </row>
    <row r="193">
      <c r="A193" s="5" t="inlineStr">
        <is>
          <t>L7-01</t>
        </is>
      </c>
      <c r="B193" s="5" t="inlineStr">
        <is>
          <t>L7</t>
        </is>
      </c>
      <c r="C193" s="5" t="inlineStr">
        <is>
          <t>E7.1</t>
        </is>
      </c>
      <c r="D193" s="5" t="inlineStr">
        <is>
          <t>Clôture &amp; archivage</t>
        </is>
      </c>
      <c r="E193" s="5" t="inlineStr">
        <is>
          <t>Story</t>
        </is>
      </c>
      <c r="F193" s="5" t="inlineStr">
        <is>
          <t>Clôture d'année avec confirmation</t>
        </is>
      </c>
      <c r="G193" s="5" t="inlineStr">
        <is>
          <t>POST /annees/{id}/transitions CLOTURER avec confirmation par code de l'année.</t>
        </is>
      </c>
      <c r="H193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3" s="5" t="inlineStr">
        <is>
          <t>EX-CAL-05</t>
        </is>
      </c>
      <c r="J193" s="5" t="inlineStr">
        <is>
          <t>§4.1.3, §3.4.15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L1-02, L5-01</t>
        </is>
      </c>
      <c r="O193" s="5" t="inlineStr">
        <is>
          <t>À faire</t>
        </is>
      </c>
      <c r="P193" s="5" t="inlineStr"/>
    </row>
    <row r="194">
      <c r="A194" s="5" t="inlineStr">
        <is>
          <t>L7-02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UI de clôture</t>
        </is>
      </c>
      <c r="G194" s="5" t="inlineStr">
        <is>
          <t>Boîte de dialogue de confirmation.</t>
        </is>
      </c>
      <c r="H194" s="5" t="inlineStr">
        <is>
          <t>- Elle liste les conséquences : lecture seule, irréversible, nombre de versions non publiées archivées
- Le bouton ne s'active qu'après saisie du code de l'année</t>
        </is>
      </c>
      <c r="I194" s="5" t="inlineStr">
        <is>
          <t>EX-CAL-05</t>
        </is>
      </c>
      <c r="J194" s="5" t="inlineStr">
        <is>
          <t>§3.4.15</t>
        </is>
      </c>
      <c r="K194" s="5" t="inlineStr">
        <is>
          <t>FRONT</t>
        </is>
      </c>
      <c r="L194" s="5" t="inlineStr">
        <is>
          <t>Must</t>
        </is>
      </c>
      <c r="M194" s="5" t="n">
        <v>3</v>
      </c>
      <c r="N194" s="5" t="inlineStr">
        <is>
          <t>L7-01, L0-28</t>
        </is>
      </c>
      <c r="O194" s="5" t="inlineStr">
        <is>
          <t>À faire</t>
        </is>
      </c>
      <c r="P194" s="5" t="inlineStr"/>
    </row>
    <row r="195">
      <c r="A195" s="5" t="inlineStr">
        <is>
          <t>L7-03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Consultation des années clôturées en lecture seule</t>
        </is>
      </c>
      <c r="G195" s="5" t="inlineStr">
        <is>
          <t>Planning, répartition, charges, versions, audit et exports d'une année clôturée.</t>
        </is>
      </c>
      <c r="H195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5" s="5" t="inlineStr">
        <is>
          <t>EX-CAL-06</t>
        </is>
      </c>
      <c r="J195" s="5" t="inlineStr">
        <is>
          <t>§4.1.3, §2.4</t>
        </is>
      </c>
      <c r="K195" s="5" t="inlineStr">
        <is>
          <t>FULL</t>
        </is>
      </c>
      <c r="L195" s="5" t="inlineStr">
        <is>
          <t>Must</t>
        </is>
      </c>
      <c r="M195" s="5" t="n">
        <v>5</v>
      </c>
      <c r="N195" s="5" t="inlineStr">
        <is>
          <t>L7-01</t>
        </is>
      </c>
      <c r="O195" s="5" t="inlineStr">
        <is>
          <t>À faire</t>
        </is>
      </c>
      <c r="P195" s="5" t="inlineStr"/>
    </row>
    <row r="196">
      <c r="A196" s="5" t="inlineStr">
        <is>
          <t>L7-04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Test</t>
        </is>
      </c>
      <c r="F196" s="5" t="inlineStr">
        <is>
          <t>Tests d'immutabilité</t>
        </is>
      </c>
      <c r="G196" s="5" t="inlineStr">
        <is>
          <t>Testcontainers : triggers et garde de service, Administrateur inclus.</t>
        </is>
      </c>
      <c r="H196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6" s="5" t="inlineStr">
        <is>
          <t>EX-PRI-03, EX-CAL-06</t>
        </is>
      </c>
      <c r="J196" s="5" t="inlineStr">
        <is>
          <t>§2.4, §5.2</t>
        </is>
      </c>
      <c r="K196" s="5" t="inlineStr">
        <is>
          <t>QA</t>
        </is>
      </c>
      <c r="L196" s="5" t="inlineStr">
        <is>
          <t>Must</t>
        </is>
      </c>
      <c r="M196" s="5" t="n">
        <v>5</v>
      </c>
      <c r="N196" s="5" t="inlineStr">
        <is>
          <t>L7-01, L3-10</t>
        </is>
      </c>
      <c r="O196" s="5" t="inlineStr">
        <is>
          <t>À faire</t>
        </is>
      </c>
      <c r="P196" s="5" t="inlineStr"/>
    </row>
    <row r="197">
      <c r="A197" s="5" t="inlineStr">
        <is>
          <t>L7-05</t>
        </is>
      </c>
      <c r="B197" s="5" t="inlineStr">
        <is>
          <t>L7</t>
        </is>
      </c>
      <c r="C197" s="5" t="inlineStr">
        <is>
          <t>E7.2</t>
        </is>
      </c>
      <c r="D197" s="5" t="inlineStr">
        <is>
          <t>Durcissement sécurité</t>
        </is>
      </c>
      <c r="E197" s="5" t="inlineStr">
        <is>
          <t>Tâche technique</t>
        </is>
      </c>
      <c r="F197" s="5" t="inlineStr">
        <is>
          <t>Durcissement applicatif</t>
        </is>
      </c>
      <c r="G197" s="5" t="inlineStr">
        <is>
          <t>CSP, Helmet, CORS en liste blanche, CSRF (en-tête et Origin), rate limiting /auth.</t>
        </is>
      </c>
      <c r="H197" s="5" t="inlineStr">
        <is>
          <t>- Les en-têtes de sécurité sont présents
- Une requête mutante sans en-tête personnalisé est rejetée
- SAST et DAST intégrés à la CI</t>
        </is>
      </c>
      <c r="I197" s="5" t="inlineStr">
        <is>
          <t>EX-SEC-08</t>
        </is>
      </c>
      <c r="J197" s="5" t="inlineStr">
        <is>
          <t>§5.1, §5.3</t>
        </is>
      </c>
      <c r="K197" s="5" t="inlineStr">
        <is>
          <t>BACK</t>
        </is>
      </c>
      <c r="L197" s="5" t="inlineStr">
        <is>
          <t>Must</t>
        </is>
      </c>
      <c r="M197" s="5" t="n">
        <v>8</v>
      </c>
      <c r="N197" s="5" t="inlineStr">
        <is>
          <t>L0-02, L0-26</t>
        </is>
      </c>
      <c r="O197" s="5" t="inlineStr">
        <is>
          <t>À faire</t>
        </is>
      </c>
      <c r="P197" s="5" t="inlineStr"/>
    </row>
    <row r="198">
      <c r="A198" s="5" t="inlineStr">
        <is>
          <t>L7-06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Test</t>
        </is>
      </c>
      <c r="F198" s="5" t="inlineStr">
        <is>
          <t>Revue RBAC et tests d'autorisation négatifs</t>
        </is>
      </c>
      <c r="G198" s="5" t="inlineStr">
        <is>
          <t>Relecture de la matrice et tests hors portée.</t>
        </is>
      </c>
      <c r="H198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8" s="5" t="inlineStr">
        <is>
          <t>EX-SEC-08, EX-ROL-05</t>
        </is>
      </c>
      <c r="J198" s="5" t="inlineStr">
        <is>
          <t>§5.2, §5.5</t>
        </is>
      </c>
      <c r="K198" s="5" t="inlineStr">
        <is>
          <t>QA</t>
        </is>
      </c>
      <c r="L198" s="5" t="inlineStr">
        <is>
          <t>Must</t>
        </is>
      </c>
      <c r="M198" s="5" t="n">
        <v>8</v>
      </c>
      <c r="N198" s="5" t="inlineStr">
        <is>
          <t>L0-20, L7-01</t>
        </is>
      </c>
      <c r="O198" s="5" t="inlineStr">
        <is>
          <t>À faire</t>
        </is>
      </c>
      <c r="P198" s="5" t="inlineStr"/>
    </row>
    <row r="199">
      <c r="A199" s="5" t="inlineStr">
        <is>
          <t>L7-07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Chaîne d'approvisionnement</t>
        </is>
      </c>
      <c r="G199" s="5" t="inlineStr">
        <is>
          <t>SBOM, scan d'images, secret scanning, empreinte du binaire FET.</t>
        </is>
      </c>
      <c r="H199" s="5" t="inlineStr">
        <is>
          <t>- SBOM généré à chaque build
- Image du worker bloquée si empreinte FET différente</t>
        </is>
      </c>
      <c r="I199" s="5" t="inlineStr">
        <is>
          <t>EX-NFR-02</t>
        </is>
      </c>
      <c r="J199" s="5" t="inlineStr">
        <is>
          <t>§5.3</t>
        </is>
      </c>
      <c r="K199" s="5" t="inlineStr">
        <is>
          <t>DEVOPS</t>
        </is>
      </c>
      <c r="L199" s="5" t="inlineStr">
        <is>
          <t>Should</t>
        </is>
      </c>
      <c r="M199" s="5" t="n">
        <v>3</v>
      </c>
      <c r="N199" s="5" t="inlineStr">
        <is>
          <t>L0-02, L4-08</t>
        </is>
      </c>
      <c r="O199" s="5" t="inlineStr">
        <is>
          <t>À faire</t>
        </is>
      </c>
      <c r="P199" s="5" t="inlineStr"/>
    </row>
    <row r="200">
      <c r="A200" s="5" t="inlineStr">
        <is>
          <t>L7-08</t>
        </is>
      </c>
      <c r="B200" s="5" t="inlineStr">
        <is>
          <t>L7</t>
        </is>
      </c>
      <c r="C200" s="5" t="inlineStr">
        <is>
          <t>E7.3</t>
        </is>
      </c>
      <c r="D200" s="5" t="inlineStr">
        <is>
          <t>Performance</t>
        </is>
      </c>
      <c r="E200" s="5" t="inlineStr">
        <is>
          <t>Test</t>
        </is>
      </c>
      <c r="F200" s="5" t="inlineStr">
        <is>
          <t>Tests de charge k6</t>
        </is>
      </c>
      <c r="G200" s="5" t="inlineStr">
        <is>
          <t>10 éditeurs simultanés sur 4 000 séances, génération parallèle refusée.</t>
        </is>
      </c>
      <c r="H200" s="5" t="inlineStr">
        <is>
          <t>- Objectifs p95 de ST §5.4 mesurés et documentés (dont tableau de bord et export de 100 pages)
- Une seconde génération sur le même semestre est refusée (409)</t>
        </is>
      </c>
      <c r="I200" s="5" t="inlineStr">
        <is>
          <t>EX-NFR-04</t>
        </is>
      </c>
      <c r="J200" s="5" t="inlineStr">
        <is>
          <t>§5.4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L3-28, L4-14, L5-26</t>
        </is>
      </c>
      <c r="O200" s="5" t="inlineStr">
        <is>
          <t>À faire</t>
        </is>
      </c>
      <c r="P200" s="5" t="inlineStr"/>
    </row>
    <row r="201">
      <c r="A201" s="5" t="inlineStr">
        <is>
          <t>L7-09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Tâche technique</t>
        </is>
      </c>
      <c r="F201" s="5" t="inlineStr">
        <is>
          <t>Optimisations selon mesures</t>
        </is>
      </c>
      <c r="G201" s="5" t="inlineStr">
        <is>
          <t>Corrections ciblées issues des tests de charge.</t>
        </is>
      </c>
      <c r="H201" s="5" t="inlineStr">
        <is>
          <t>- Tous les objectifs p95 sont atteints ou dérogation documentée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FULL</t>
        </is>
      </c>
      <c r="L201" s="5" t="inlineStr">
        <is>
          <t>Should</t>
        </is>
      </c>
      <c r="M201" s="5" t="n">
        <v>8</v>
      </c>
      <c r="N201" s="5" t="inlineStr">
        <is>
          <t>L7-08</t>
        </is>
      </c>
      <c r="O201" s="5" t="inlineStr">
        <is>
          <t>À faire</t>
        </is>
      </c>
      <c r="P201" s="5" t="inlineStr"/>
    </row>
    <row r="202">
      <c r="A202" s="5" t="inlineStr">
        <is>
          <t>L7-10</t>
        </is>
      </c>
      <c r="B202" s="5" t="inlineStr">
        <is>
          <t>L7</t>
        </is>
      </c>
      <c r="C202" s="5" t="inlineStr">
        <is>
          <t>E7.4</t>
        </is>
      </c>
      <c r="D202" s="5" t="inlineStr">
        <is>
          <t>Exploitation &amp; conformité</t>
        </is>
      </c>
      <c r="E202" s="5" t="inlineStr">
        <is>
          <t>Tâche technique</t>
        </is>
      </c>
      <c r="F202" s="5" t="inlineStr">
        <is>
          <t>Sauvegardes et restauration</t>
        </is>
      </c>
      <c r="G202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2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2" s="5" t="inlineStr">
        <is>
          <t>EX-NFR-03</t>
        </is>
      </c>
      <c r="J202" s="5" t="inlineStr">
        <is>
          <t>§5.3, §1.8</t>
        </is>
      </c>
      <c r="K202" s="5" t="inlineStr">
        <is>
          <t>DEVOPS</t>
        </is>
      </c>
      <c r="L202" s="5" t="inlineStr">
        <is>
          <t>Must</t>
        </is>
      </c>
      <c r="M202" s="5" t="n">
        <v>5</v>
      </c>
      <c r="N202" s="5" t="inlineStr">
        <is>
          <t>L0-07</t>
        </is>
      </c>
      <c r="O202" s="5" t="inlineStr">
        <is>
          <t>À faire</t>
        </is>
      </c>
      <c r="P202" s="5" t="inlineStr"/>
    </row>
    <row r="203">
      <c r="A203" s="5" t="inlineStr">
        <is>
          <t>L7-11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Alarmes et runbooks</t>
        </is>
      </c>
      <c r="G203" s="5" t="inlineStr">
        <is>
          <t>File d'échecs non vide, génération au-delà du seuil, 5xx, e-mails en échec.</t>
        </is>
      </c>
      <c r="H203" s="5" t="inlineStr">
        <is>
          <t>- Chaque alarme a un runbook
- Alerte déclenchée sur les scénarios simulés</t>
        </is>
      </c>
      <c r="I203" s="5" t="inlineStr">
        <is>
          <t>EX-NFR-05</t>
        </is>
      </c>
      <c r="J203" s="5" t="inlineStr">
        <is>
          <t>§5.4, §4.19</t>
        </is>
      </c>
      <c r="K203" s="5" t="inlineStr">
        <is>
          <t>DEVOPS</t>
        </is>
      </c>
      <c r="L203" s="5" t="inlineStr">
        <is>
          <t>Should</t>
        </is>
      </c>
      <c r="M203" s="5" t="n">
        <v>5</v>
      </c>
      <c r="N203" s="5" t="inlineStr">
        <is>
          <t>L0-09, L5-22</t>
        </is>
      </c>
      <c r="O203" s="5" t="inlineStr">
        <is>
          <t>À faire</t>
        </is>
      </c>
      <c r="P203" s="5" t="inlineStr"/>
    </row>
    <row r="204">
      <c r="A204" s="5" t="inlineStr">
        <is>
          <t>L7-12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Conformité INPDP et conservation</t>
        </is>
      </c>
      <c r="G204" s="5" t="inlineStr">
        <is>
          <t>Durées de conservation audit, journal de sécurité et exports, droit d'accès et de rectification, validation DPO.</t>
        </is>
      </c>
      <c r="H204" s="5" t="inlineStr">
        <is>
          <t>- Politique de conservation validée par la maîtrise d'ouvrage
- Données hébergées en Tunisie ; cadre INPDP et durée de conservation validés avec le DPO</t>
        </is>
      </c>
      <c r="I204" s="5" t="inlineStr">
        <is>
          <t>EX-NFR-06, EX-AUD-02</t>
        </is>
      </c>
      <c r="J204" s="5" t="inlineStr">
        <is>
          <t>§5.3, §0.4</t>
        </is>
      </c>
      <c r="K204" s="5" t="inlineStr">
        <is>
          <t>FULL</t>
        </is>
      </c>
      <c r="L204" s="5" t="inlineStr">
        <is>
          <t>Must</t>
        </is>
      </c>
      <c r="M204" s="5" t="n">
        <v>5</v>
      </c>
      <c r="N204" s="5" t="inlineStr"/>
      <c r="O204" s="5" t="inlineStr">
        <is>
          <t>À faire</t>
        </is>
      </c>
      <c r="P204" s="5" t="inlineStr"/>
    </row>
    <row r="205">
      <c r="A205" s="5" t="inlineStr">
        <is>
          <t>L7-13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Mentions de licence de FET (NOTICE)</t>
        </is>
      </c>
      <c r="G205" s="5" t="inlineStr">
        <is>
          <t>FET (AGPL v3) est utilisé tel quel, en développement interne pour le seul compte de l'ISAMK.</t>
        </is>
      </c>
      <c r="H205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5" s="5" t="inlineStr">
        <is>
          <t>EX-MOT-08</t>
        </is>
      </c>
      <c r="J205" s="5" t="inlineStr">
        <is>
          <t>§4.6.4</t>
        </is>
      </c>
      <c r="K205" s="5" t="inlineStr">
        <is>
          <t>DEVOPS</t>
        </is>
      </c>
      <c r="L205" s="5" t="inlineStr">
        <is>
          <t>Must</t>
        </is>
      </c>
      <c r="M205" s="5" t="n">
        <v>1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L7-14</t>
        </is>
      </c>
      <c r="B206" s="5" t="inlineStr">
        <is>
          <t>L7</t>
        </is>
      </c>
      <c r="C206" s="5" t="inlineStr">
        <is>
          <t>E7.5</t>
        </is>
      </c>
      <c r="D206" s="5" t="inlineStr">
        <is>
          <t>Recette &amp; mise en production</t>
        </is>
      </c>
      <c r="E206" s="5" t="inlineStr">
        <is>
          <t>Tâche technique</t>
        </is>
      </c>
      <c r="F206" s="5" t="inlineStr">
        <is>
          <t>Stratégie de tests et jeux de données de recette</t>
        </is>
      </c>
      <c r="G206" s="5" t="inlineStr">
        <is>
          <t>Jeux de données représentatifs (POC FET, recette), scénarios Given/When/Then de la SF §23, matrice de traçabilité vérifiée en CI.</t>
        </is>
      </c>
      <c r="H206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6" s="5" t="inlineStr">
        <is>
          <t>EX-NFR-07</t>
        </is>
      </c>
      <c r="J206" s="5" t="inlineStr">
        <is>
          <t>§5.5, §6.1</t>
        </is>
      </c>
      <c r="K206" s="5" t="inlineStr">
        <is>
          <t>QA</t>
        </is>
      </c>
      <c r="L206" s="5" t="inlineStr">
        <is>
          <t>Must</t>
        </is>
      </c>
      <c r="M206" s="5" t="n">
        <v>5</v>
      </c>
      <c r="N206" s="5" t="inlineStr">
        <is>
          <t>L0-02, L4-09</t>
        </is>
      </c>
      <c r="O206" s="5" t="inlineStr">
        <is>
          <t>À faire</t>
        </is>
      </c>
      <c r="P206" s="5" t="inlineStr"/>
    </row>
    <row r="207">
      <c r="A207" s="5" t="inlineStr">
        <is>
          <t>L7-15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Test</t>
        </is>
      </c>
      <c r="F207" s="5" t="inlineStr">
        <is>
          <t>E2E complet répartition → export</t>
        </is>
      </c>
      <c r="G207" s="5" t="inlineStr">
        <is>
          <t>Playwright sur tout le parcours, par rôle.</t>
        </is>
      </c>
      <c r="H207" s="5" t="inlineStr">
        <is>
          <t>- Parcours complet vert en recette
- Rejouable en CI</t>
        </is>
      </c>
      <c r="I207" s="5" t="inlineStr">
        <is>
          <t>EX-NFR-07</t>
        </is>
      </c>
      <c r="J207" s="5" t="inlineStr">
        <is>
          <t>§5.5</t>
        </is>
      </c>
      <c r="K207" s="5" t="inlineStr">
        <is>
          <t>QA</t>
        </is>
      </c>
      <c r="L207" s="5" t="inlineStr">
        <is>
          <t>Must</t>
        </is>
      </c>
      <c r="M207" s="5" t="n">
        <v>8</v>
      </c>
      <c r="N207" s="5" t="inlineStr">
        <is>
          <t>L5-16, L6-07, L6-06</t>
        </is>
      </c>
      <c r="O207" s="5" t="inlineStr">
        <is>
          <t>À faire</t>
        </is>
      </c>
      <c r="P207" s="5" t="inlineStr"/>
    </row>
    <row r="208">
      <c r="A208" s="5" t="inlineStr">
        <is>
          <t>L7-16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Story</t>
        </is>
      </c>
      <c r="F208" s="5" t="inlineStr">
        <is>
          <t>Recette sur données réelles de l'ISAMK</t>
        </is>
      </c>
      <c r="G208" s="5" t="inlineStr">
        <is>
          <t>Chargement des données réelles (S4), recette, correctifs, documentation et formation.</t>
        </is>
      </c>
      <c r="H208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8" s="5" t="inlineStr">
        <is>
          <t>EX-NFR-07</t>
        </is>
      </c>
      <c r="J208" s="5" t="inlineStr">
        <is>
          <t>§5.5, §6.4</t>
        </is>
      </c>
      <c r="K208" s="5" t="inlineStr">
        <is>
          <t>FULL</t>
        </is>
      </c>
      <c r="L208" s="5" t="inlineStr">
        <is>
          <t>Must</t>
        </is>
      </c>
      <c r="M208" s="5" t="n">
        <v>13</v>
      </c>
      <c r="N208" s="5" t="inlineStr">
        <is>
          <t>L7-15, L7-06, L7-09</t>
        </is>
      </c>
      <c r="O208" s="5" t="inlineStr">
        <is>
          <t>À faire</t>
        </is>
      </c>
      <c r="P208" s="5" t="inlineStr"/>
    </row>
    <row r="209">
      <c r="A209" s="5" t="inlineStr">
        <is>
          <t>L7-17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Tâche technique</t>
        </is>
      </c>
      <c r="F209" s="5" t="inlineStr">
        <is>
          <t>Mise en production et hypercare</t>
        </is>
      </c>
      <c r="G209" s="5" t="inlineStr">
        <is>
          <t>Bascule, surveillance renforcée.</t>
        </is>
      </c>
      <c r="H209" s="5" t="inlineStr">
        <is>
          <t>- Production déployée via pipeline
- Période d'hypercare avec points quotidiens
- Plan de retour arrière documenté</t>
        </is>
      </c>
      <c r="I209" s="5" t="inlineStr">
        <is>
          <t>EX-NFR-02</t>
        </is>
      </c>
      <c r="J209" s="5" t="inlineStr">
        <is>
          <t>§5.5, §1.8</t>
        </is>
      </c>
      <c r="K209" s="5" t="inlineStr">
        <is>
          <t>DEVOPS</t>
        </is>
      </c>
      <c r="L209" s="5" t="inlineStr">
        <is>
          <t>Must</t>
        </is>
      </c>
      <c r="M209" s="5" t="n">
        <v>5</v>
      </c>
      <c r="N209" s="5" t="inlineStr">
        <is>
          <t>L7-16, L7-10, L7-11</t>
        </is>
      </c>
      <c r="O209" s="5" t="inlineStr">
        <is>
          <t>À faire</t>
        </is>
      </c>
      <c r="P209" s="5" t="inlineStr"/>
    </row>
  </sheetData>
  <autoFilter ref="A1:P2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COUNTIF(Tickets!$B$2:$B$209,A2)</f>
        <v/>
      </c>
      <c r="D2" s="5">
        <f>SUMIF(Tickets!$B$2:$B$209,A2,Tickets!$M$2:$M$209)</f>
        <v/>
      </c>
      <c r="E2" s="5">
        <f>SUMIFS(Tickets!$M$2:$M$209,Tickets!$B$2:$B$209,A2,Tickets!$O$2:$O$209,"Terminé")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COUNTIF(Tickets!$B$2:$B$209,A3)</f>
        <v/>
      </c>
      <c r="D3" s="5">
        <f>SUMIF(Tickets!$B$2:$B$209,A3,Tickets!$M$2:$M$209)</f>
        <v/>
      </c>
      <c r="E3" s="5">
        <f>SUMIFS(Tickets!$M$2:$M$209,Tickets!$B$2:$B$209,A3,Tickets!$O$2:$O$209,"Terminé")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COUNTIF(Tickets!$B$2:$B$209,A4)</f>
        <v/>
      </c>
      <c r="D4" s="5">
        <f>SUMIF(Tickets!$B$2:$B$209,A4,Tickets!$M$2:$M$209)</f>
        <v/>
      </c>
      <c r="E4" s="5">
        <f>SUMIFS(Tickets!$M$2:$M$209,Tickets!$B$2:$B$209,A4,Tickets!$O$2:$O$209,"Terminé")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COUNTIF(Tickets!$B$2:$B$209,A5)</f>
        <v/>
      </c>
      <c r="D5" s="5">
        <f>SUMIF(Tickets!$B$2:$B$209,A5,Tickets!$M$2:$M$209)</f>
        <v/>
      </c>
      <c r="E5" s="5">
        <f>SUMIFS(Tickets!$M$2:$M$209,Tickets!$B$2:$B$209,A5,Tickets!$O$2:$O$209,"Terminé")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COUNTIF(Tickets!$B$2:$B$209,A6)</f>
        <v/>
      </c>
      <c r="D6" s="5">
        <f>SUMIF(Tickets!$B$2:$B$209,A6,Tickets!$M$2:$M$209)</f>
        <v/>
      </c>
      <c r="E6" s="5">
        <f>SUMIFS(Tickets!$M$2:$M$209,Tickets!$B$2:$B$209,A6,Tickets!$O$2:$O$209,"Terminé")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COUNTIF(Tickets!$B$2:$B$209,A7)</f>
        <v/>
      </c>
      <c r="D7" s="5">
        <f>SUMIF(Tickets!$B$2:$B$209,A7,Tickets!$M$2:$M$209)</f>
        <v/>
      </c>
      <c r="E7" s="5">
        <f>SUMIFS(Tickets!$M$2:$M$209,Tickets!$B$2:$B$209,A7,Tickets!$O$2:$O$209,"Terminé")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COUNTIF(Tickets!$B$2:$B$209,A8)</f>
        <v/>
      </c>
      <c r="D8" s="5">
        <f>SUMIF(Tickets!$B$2:$B$209,A8,Tickets!$M$2:$M$209)</f>
        <v/>
      </c>
      <c r="E8" s="5">
        <f>SUMIFS(Tickets!$M$2:$M$209,Tickets!$B$2:$B$209,A8,Tickets!$O$2:$O$209,"Terminé")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COUNTIF(Tickets!$B$2:$B$209,A9)</f>
        <v/>
      </c>
      <c r="D9" s="5">
        <f>SUMIF(Tickets!$B$2:$B$209,A9,Tickets!$M$2:$M$209)</f>
        <v/>
      </c>
      <c r="E9" s="5">
        <f>SUMIFS(Tickets!$M$2:$M$209,Tickets!$B$2:$B$209,A9,Tickets!$O$2:$O$209,"Terminé")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COUNTIF(Tickets!$C$2:$C$209,A2)</f>
        <v/>
      </c>
      <c r="E2" s="7">
        <f>SUMIF(Tickets!$C$2:$C$209,A2,Tickets!$M$2:$M$209)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COUNTIF(Tickets!$C$2:$C$209,A3)</f>
        <v/>
      </c>
      <c r="E3" s="7">
        <f>SUMIF(Tickets!$C$2:$C$209,A3,Tickets!$M$2:$M$209)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COUNTIF(Tickets!$C$2:$C$209,A4)</f>
        <v/>
      </c>
      <c r="E4" s="7">
        <f>SUMIF(Tickets!$C$2:$C$209,A4,Tickets!$M$2:$M$209)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COUNTIF(Tickets!$C$2:$C$209,A5)</f>
        <v/>
      </c>
      <c r="E5" s="7">
        <f>SUMIF(Tickets!$C$2:$C$209,A5,Tickets!$M$2:$M$209)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COUNTIF(Tickets!$C$2:$C$209,A6)</f>
        <v/>
      </c>
      <c r="E6" s="7">
        <f>SUMIF(Tickets!$C$2:$C$209,A6,Tickets!$M$2:$M$209)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COUNTIF(Tickets!$C$2:$C$209,A7)</f>
        <v/>
      </c>
      <c r="E7" s="7">
        <f>SUMIF(Tickets!$C$2:$C$209,A7,Tickets!$M$2:$M$209)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COUNTIF(Tickets!$C$2:$C$209,A8)</f>
        <v/>
      </c>
      <c r="E8" s="7">
        <f>SUMIF(Tickets!$C$2:$C$209,A8,Tickets!$M$2:$M$209)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COUNTIF(Tickets!$C$2:$C$209,A9)</f>
        <v/>
      </c>
      <c r="E9" s="7">
        <f>SUMIF(Tickets!$C$2:$C$209,A9,Tickets!$M$2:$M$209)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COUNTIF(Tickets!$C$2:$C$209,A10)</f>
        <v/>
      </c>
      <c r="E10" s="7">
        <f>SUMIF(Tickets!$C$2:$C$209,A10,Tickets!$M$2:$M$209)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COUNTIF(Tickets!$C$2:$C$209,A11)</f>
        <v/>
      </c>
      <c r="E11" s="7">
        <f>SUMIF(Tickets!$C$2:$C$209,A11,Tickets!$M$2:$M$209)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COUNTIF(Tickets!$C$2:$C$209,A12)</f>
        <v/>
      </c>
      <c r="E12" s="7">
        <f>SUMIF(Tickets!$C$2:$C$209,A12,Tickets!$M$2:$M$209)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COUNTIF(Tickets!$C$2:$C$209,A13)</f>
        <v/>
      </c>
      <c r="E13" s="7">
        <f>SUMIF(Tickets!$C$2:$C$209,A13,Tickets!$M$2:$M$209)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COUNTIF(Tickets!$C$2:$C$209,A14)</f>
        <v/>
      </c>
      <c r="E14" s="7">
        <f>SUMIF(Tickets!$C$2:$C$209,A14,Tickets!$M$2:$M$209)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COUNTIF(Tickets!$C$2:$C$209,A15)</f>
        <v/>
      </c>
      <c r="E15" s="7">
        <f>SUMIF(Tickets!$C$2:$C$209,A15,Tickets!$M$2:$M$209)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COUNTIF(Tickets!$C$2:$C$209,A16)</f>
        <v/>
      </c>
      <c r="E16" s="7">
        <f>SUMIF(Tickets!$C$2:$C$209,A16,Tickets!$M$2:$M$209)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COUNTIF(Tickets!$C$2:$C$209,A17)</f>
        <v/>
      </c>
      <c r="E17" s="7">
        <f>SUMIF(Tickets!$C$2:$C$209,A17,Tickets!$M$2:$M$209)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COUNTIF(Tickets!$C$2:$C$209,A18)</f>
        <v/>
      </c>
      <c r="E18" s="7">
        <f>SUMIF(Tickets!$C$2:$C$209,A18,Tickets!$M$2:$M$209)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COUNTIF(Tickets!$C$2:$C$209,A19)</f>
        <v/>
      </c>
      <c r="E19" s="7">
        <f>SUMIF(Tickets!$C$2:$C$209,A19,Tickets!$M$2:$M$209)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COUNTIF(Tickets!$C$2:$C$209,A20)</f>
        <v/>
      </c>
      <c r="E20" s="7">
        <f>SUMIF(Tickets!$C$2:$C$209,A20,Tickets!$M$2:$M$209)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COUNTIF(Tickets!$C$2:$C$209,A21)</f>
        <v/>
      </c>
      <c r="E21" s="7">
        <f>SUMIF(Tickets!$C$2:$C$209,A21,Tickets!$M$2:$M$209)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COUNTIF(Tickets!$C$2:$C$209,A22)</f>
        <v/>
      </c>
      <c r="E22" s="7">
        <f>SUMIF(Tickets!$C$2:$C$209,A22,Tickets!$M$2:$M$209)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COUNTIF(Tickets!$C$2:$C$209,A23)</f>
        <v/>
      </c>
      <c r="E23" s="7">
        <f>SUMIF(Tickets!$C$2:$C$209,A23,Tickets!$M$2:$M$209)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COUNTIF(Tickets!$C$2:$C$209,A24)</f>
        <v/>
      </c>
      <c r="E24" s="7">
        <f>SUMIF(Tickets!$C$2:$C$209,A24,Tickets!$M$2:$M$209)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COUNTIF(Tickets!$C$2:$C$209,A25)</f>
        <v/>
      </c>
      <c r="E25" s="7">
        <f>SUMIF(Tickets!$C$2:$C$209,A25,Tickets!$M$2:$M$209)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COUNTIF(Tickets!$C$2:$C$209,A26)</f>
        <v/>
      </c>
      <c r="E26" s="7">
        <f>SUMIF(Tickets!$C$2:$C$209,A26,Tickets!$M$2:$M$209)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COUNTIF(Tickets!$C$2:$C$209,A27)</f>
        <v/>
      </c>
      <c r="E27" s="7">
        <f>SUMIF(Tickets!$C$2:$C$209,A27,Tickets!$M$2:$M$209)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COUNTIF(Tickets!$C$2:$C$209,A28)</f>
        <v/>
      </c>
      <c r="E28" s="7">
        <f>SUMIF(Tickets!$C$2:$C$209,A28,Tickets!$M$2:$M$209)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COUNTIF(Tickets!$C$2:$C$209,A29)</f>
        <v/>
      </c>
      <c r="E29" s="7">
        <f>SUMIF(Tickets!$C$2:$C$209,A29,Tickets!$M$2:$M$209)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COUNTIF(Tickets!$C$2:$C$209,A30)</f>
        <v/>
      </c>
      <c r="E30" s="7">
        <f>SUMIF(Tickets!$C$2:$C$209,A30,Tickets!$M$2:$M$209)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COUNTIF(Tickets!$C$2:$C$209,A31)</f>
        <v/>
      </c>
      <c r="E31" s="7">
        <f>SUMIF(Tickets!$C$2:$C$209,A31,Tickets!$M$2:$M$209)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COUNTIF(Tickets!$C$2:$C$209,A32)</f>
        <v/>
      </c>
      <c r="E32" s="7">
        <f>SUMIF(Tickets!$C$2:$C$209,A32,Tickets!$M$2:$M$209)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COUNTIF(Tickets!$C$2:$C$209,A33)</f>
        <v/>
      </c>
      <c r="E33" s="7">
        <f>SUMIF(Tickets!$C$2:$C$209,A33,Tickets!$M$2:$M$209)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COUNTIF(Tickets!$C$2:$C$209,A34)</f>
        <v/>
      </c>
      <c r="E34" s="7">
        <f>SUMIF(Tickets!$C$2:$C$209,A34,Tickets!$M$2:$M$209)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COUNTIF(Tickets!$C$2:$C$209,A35)</f>
        <v/>
      </c>
      <c r="E35" s="7">
        <f>SUMIF(Tickets!$C$2:$C$209,A35,Tickets!$M$2:$M$209)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COUNTIF(Tickets!$C$2:$C$209,A36)</f>
        <v/>
      </c>
      <c r="E36" s="7">
        <f>SUMIF(Tickets!$C$2:$C$209,A36,Tickets!$M$2:$M$209)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COUNTIF(Tickets!$C$2:$C$209,A37)</f>
        <v/>
      </c>
      <c r="E37" s="7">
        <f>SUMIF(Tickets!$C$2:$C$209,A37,Tickets!$M$2:$M$209)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COUNTIF(Tickets!$C$2:$C$209,A38)</f>
        <v/>
      </c>
      <c r="E38" s="7">
        <f>SUMIF(Tickets!$C$2:$C$209,A38,Tickets!$M$2:$M$209)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COUNTIF(Tickets!$C$2:$C$209,A39)</f>
        <v/>
      </c>
      <c r="E39" s="7">
        <f>SUMIF(Tickets!$C$2:$C$209,A39,Tickets!$M$2:$M$209)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COUNTIF(Tickets!$C$2:$C$209,A40)</f>
        <v/>
      </c>
      <c r="E40" s="7">
        <f>SUMIF(Tickets!$C$2:$C$209,A40,Tickets!$M$2:$M$209)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COUNTIF(Tickets!$C$2:$C$209,A41)</f>
        <v/>
      </c>
      <c r="E41" s="7">
        <f>SUMIF(Tickets!$C$2:$C$209,A41,Tickets!$M$2:$M$209)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COUNTIF(Tickets!$C$2:$C$209,A42)</f>
        <v/>
      </c>
      <c r="E42" s="7">
        <f>SUMIF(Tickets!$C$2:$C$209,A42,Tickets!$M$2:$M$209)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COUNTIF(Tickets!$C$2:$C$209,A43)</f>
        <v/>
      </c>
      <c r="E43" s="7">
        <f>SUMIF(Tickets!$C$2:$C$209,A43,Tickets!$M$2:$M$209)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COUNTIF(Tickets!$C$2:$C$209,A44)</f>
        <v/>
      </c>
      <c r="E44" s="7">
        <f>SUMIF(Tickets!$C$2:$C$209,A44,Tickets!$M$2:$M$209)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COUNTIF(Tickets!$C$2:$C$209,A45)</f>
        <v/>
      </c>
      <c r="E45" s="7">
        <f>SUMIF(Tickets!$C$2:$C$209,A45,Tickets!$M$2:$M$209)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COUNTIF(Tickets!$C$2:$C$209,A46)</f>
        <v/>
      </c>
      <c r="E46" s="7">
        <f>SUMIF(Tickets!$C$2:$C$209,A46,Tickets!$M$2:$M$209)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COUNTIF(Tickets!$C$2:$C$209,A47)</f>
        <v/>
      </c>
      <c r="E47" s="7">
        <f>SUMIF(Tickets!$C$2:$C$209,A47,Tickets!$M$2:$M$209)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COUNTIF(Tickets!$C$2:$C$209,A48)</f>
        <v/>
      </c>
      <c r="E48" s="7">
        <f>SUMIF(Tickets!$C$2:$C$209,A48,Tickets!$M$2:$M$209)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COUNTIF(Tickets!$C$2:$C$209,A49)</f>
        <v/>
      </c>
      <c r="E49" s="7">
        <f>SUMIF(Tickets!$C$2:$C$209,A49,Tickets!$M$2:$M$209)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COUNTIF(Tickets!$C$2:$C$209,A50)</f>
        <v/>
      </c>
      <c r="E50" s="7">
        <f>SUMIF(Tickets!$C$2:$C$209,A50,Tickets!$M$2:$M$209)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COUNTIF(Tickets!$C$2:$C$209,A51)</f>
        <v/>
      </c>
      <c r="E51" s="7">
        <f>SUMIF(Tickets!$C$2:$C$209,A51,Tickets!$M$2:$M$209)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COUNTIF(Tickets!$C$2:$C$209,A52)</f>
        <v/>
      </c>
      <c r="E52" s="7">
        <f>SUMIF(Tickets!$C$2:$C$209,A52,Tickets!$M$2:$M$209)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COUNTIF(Tickets!$C$2:$C$209,A53)</f>
        <v/>
      </c>
      <c r="E53" s="7">
        <f>SUMIF(Tickets!$C$2:$C$209,A53,Tickets!$M$2:$M$209)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COUNTIF(Tickets!$C$2:$C$209,A54)</f>
        <v/>
      </c>
      <c r="E54" s="7">
        <f>SUMIF(Tickets!$C$2:$C$209,A54,Tickets!$M$2:$M$209)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COUNTIF(Tickets!$C$2:$C$209,A55)</f>
        <v/>
      </c>
      <c r="E55" s="7">
        <f>SUMIF(Tickets!$C$2:$C$209,A55,Tickets!$M$2:$M$209)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COUNTIF(Tickets!$C$2:$C$209,A56)</f>
        <v/>
      </c>
      <c r="E56" s="7">
        <f>SUMIF(Tickets!$C$2:$C$209,A56,Tickets!$M$2:$M$209)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COUNTIF(Tickets!$C$2:$C$209,A57)</f>
        <v/>
      </c>
      <c r="E57" s="7">
        <f>SUMIF(Tickets!$C$2:$C$209,A57,Tickets!$M$2:$M$209)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COUNTIF(Tickets!$C$2:$C$209,A58)</f>
        <v/>
      </c>
      <c r="E58" s="7">
        <f>SUMIF(Tickets!$C$2:$C$209,A58,Tickets!$M$2:$M$209)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COUNTIF(Tickets!$C$2:$C$209,A59)</f>
        <v/>
      </c>
      <c r="E59" s="7">
        <f>SUMIF(Tickets!$C$2:$C$209,A59,Tickets!$M$2:$M$209)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COUNTIF(Tickets!$C$2:$C$209,A60)</f>
        <v/>
      </c>
      <c r="E60" s="7">
        <f>SUMIF(Tickets!$C$2:$C$209,A60,Tickets!$M$2:$M$209)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COUNTIF(Tickets!$C$2:$C$209,A61)</f>
        <v/>
      </c>
      <c r="E61" s="7">
        <f>SUMIF(Tickets!$C$2:$C$209,A61,Tickets!$M$2:$M$209)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2026-10-16T11:28:09Z</dcterms:created>
  <dcterms:modified xsi:type="dcterms:W3CDTF">2026-10-16T11:28:10Z</dcterms:modified>
</cp:coreProperties>
</file>