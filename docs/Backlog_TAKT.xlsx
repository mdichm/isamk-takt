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Terminé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  <row r="212">
      <c r="A212" s="5" t="inlineStr">
        <is>
          <t>L7-18</t>
        </is>
      </c>
      <c r="B212" s="5" t="inlineStr">
        <is>
          <t>L7</t>
        </is>
      </c>
      <c r="C212" s="5" t="inlineStr">
        <is>
          <t>E7.6</t>
        </is>
      </c>
      <c r="D212" s="5" t="inlineStr">
        <is>
          <t>Arborescence de structure</t>
        </is>
      </c>
      <c r="E212" s="5" t="inlineStr">
        <is>
          <t>Story</t>
        </is>
      </c>
      <c r="F212" s="5" t="inlineStr">
        <is>
          <t>Champ ordre et réordonnancement dnd-kit de l'arbre de structure</t>
        </is>
      </c>
      <c r="G212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2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2" s="5" t="inlineStr">
        <is>
          <t>EX-ORG-01, EX-ORG-02</t>
        </is>
      </c>
      <c r="J212" s="5" t="inlineStr">
        <is>
          <t>§3.3</t>
        </is>
      </c>
      <c r="K212" s="5" t="inlineStr">
        <is>
          <t>FRONT</t>
        </is>
      </c>
      <c r="L212" s="5" t="inlineStr">
        <is>
          <t>Must</t>
        </is>
      </c>
      <c r="M212" s="5" t="n">
        <v>8</v>
      </c>
      <c r="N212" s="5" t="inlineStr">
        <is>
          <t>L1-09</t>
        </is>
      </c>
      <c r="O212" s="5" t="inlineStr">
        <is>
          <t>Terminé</t>
        </is>
      </c>
      <c r="P212" s="5" t="inlineStr"/>
    </row>
    <row r="213">
      <c r="A213" s="5" t="inlineStr">
        <is>
          <t>L7-19</t>
        </is>
      </c>
      <c r="B213" s="5" t="inlineStr">
        <is>
          <t>L7</t>
        </is>
      </c>
      <c r="C213" s="5" t="inlineStr">
        <is>
          <t>E7.7</t>
        </is>
      </c>
      <c r="D213" s="5" t="inlineStr">
        <is>
          <t>Qualité frontend</t>
        </is>
      </c>
      <c r="E213" s="5" t="inlineStr">
        <is>
          <t>Test</t>
        </is>
      </c>
      <c r="F213" s="5" t="inlineStr">
        <is>
          <t>Tests frontend (Zod, API, hooks, composant StructureTree)</t>
        </is>
      </c>
      <c r="G213" s="5" t="inlineStr">
        <is>
          <t>Ajouter vitest, testing-library, jsdom ; écrire des tests unitaires pour la validation Zod, les fonctions API, les hooks React Query et le composant StructureTree.</t>
        </is>
      </c>
      <c r="H213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3" s="5" t="inlineStr">
        <is>
          <t>EX-NFR-07</t>
        </is>
      </c>
      <c r="J213" s="5" t="inlineStr">
        <is>
          <t>§5.5</t>
        </is>
      </c>
      <c r="K213" s="5" t="inlineStr">
        <is>
          <t>QA</t>
        </is>
      </c>
      <c r="L213" s="5" t="inlineStr">
        <is>
          <t>Must</t>
        </is>
      </c>
      <c r="M213" s="5" t="n">
        <v>5</v>
      </c>
      <c r="N213" s="5" t="inlineStr">
        <is>
          <t>L1-09, L7-18</t>
        </is>
      </c>
      <c r="O213" s="5" t="inlineStr">
        <is>
          <t>Terminé</t>
        </is>
      </c>
      <c r="P213" s="5" t="inlineStr"/>
    </row>
  </sheetData>
  <autoFilter ref="A1:P2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COUNTIF(Tickets!$B$2:$B$213,A2)</f>
        <v/>
      </c>
      <c r="D2" s="5">
        <f>SUMIF(Tickets!$B$2:$B$213,A2,Tickets!$M$2:$M$213)</f>
        <v/>
      </c>
      <c r="E2" s="5">
        <f>SUMIFS(Tickets!$M$2:$M$213,Tickets!$B$2:$B$213,A2,Tickets!$O$2:$O$213,"Terminé")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COUNTIF(Tickets!$B$2:$B$213,A3)</f>
        <v/>
      </c>
      <c r="D3" s="5">
        <f>SUMIF(Tickets!$B$2:$B$213,A3,Tickets!$M$2:$M$213)</f>
        <v/>
      </c>
      <c r="E3" s="5">
        <f>SUMIFS(Tickets!$M$2:$M$213,Tickets!$B$2:$B$213,A3,Tickets!$O$2:$O$213,"Terminé")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COUNTIF(Tickets!$B$2:$B$213,A4)</f>
        <v/>
      </c>
      <c r="D4" s="5">
        <f>SUMIF(Tickets!$B$2:$B$213,A4,Tickets!$M$2:$M$213)</f>
        <v/>
      </c>
      <c r="E4" s="5">
        <f>SUMIFS(Tickets!$M$2:$M$213,Tickets!$B$2:$B$213,A4,Tickets!$O$2:$O$213,"Terminé")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COUNTIF(Tickets!$B$2:$B$213,A5)</f>
        <v/>
      </c>
      <c r="D5" s="5">
        <f>SUMIF(Tickets!$B$2:$B$213,A5,Tickets!$M$2:$M$213)</f>
        <v/>
      </c>
      <c r="E5" s="5">
        <f>SUMIFS(Tickets!$M$2:$M$213,Tickets!$B$2:$B$213,A5,Tickets!$O$2:$O$213,"Terminé")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COUNTIF(Tickets!$B$2:$B$213,A6)</f>
        <v/>
      </c>
      <c r="D6" s="5">
        <f>SUMIF(Tickets!$B$2:$B$213,A6,Tickets!$M$2:$M$213)</f>
        <v/>
      </c>
      <c r="E6" s="5">
        <f>SUMIFS(Tickets!$M$2:$M$213,Tickets!$B$2:$B$213,A6,Tickets!$O$2:$O$213,"Terminé")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COUNTIF(Tickets!$B$2:$B$213,A7)</f>
        <v/>
      </c>
      <c r="D7" s="5">
        <f>SUMIF(Tickets!$B$2:$B$213,A7,Tickets!$M$2:$M$213)</f>
        <v/>
      </c>
      <c r="E7" s="5">
        <f>SUMIFS(Tickets!$M$2:$M$213,Tickets!$B$2:$B$213,A7,Tickets!$O$2:$O$213,"Terminé")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COUNTIF(Tickets!$B$2:$B$213,A8)</f>
        <v/>
      </c>
      <c r="D8" s="5">
        <f>SUMIF(Tickets!$B$2:$B$213,A8,Tickets!$M$2:$M$213)</f>
        <v/>
      </c>
      <c r="E8" s="5">
        <f>SUMIFS(Tickets!$M$2:$M$213,Tickets!$B$2:$B$213,A8,Tickets!$O$2:$O$213,"Terminé")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COUNTIF(Tickets!$B$2:$B$213,A9)</f>
        <v/>
      </c>
      <c r="D9" s="5">
        <f>SUMIF(Tickets!$B$2:$B$213,A9,Tickets!$M$2:$M$213)</f>
        <v/>
      </c>
      <c r="E9" s="5">
        <f>SUMIFS(Tickets!$M$2:$M$213,Tickets!$B$2:$B$213,A9,Tickets!$O$2:$O$213,"Terminé")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COUNTIF(Tickets!$C$2:$C$213,A2)</f>
        <v/>
      </c>
      <c r="E2" s="7">
        <f>SUMIF(Tickets!$C$2:$C$213,A2,Tickets!$M$2:$M$213)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COUNTIF(Tickets!$C$2:$C$213,A3)</f>
        <v/>
      </c>
      <c r="E3" s="7">
        <f>SUMIF(Tickets!$C$2:$C$213,A3,Tickets!$M$2:$M$213)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COUNTIF(Tickets!$C$2:$C$213,A4)</f>
        <v/>
      </c>
      <c r="E4" s="7">
        <f>SUMIF(Tickets!$C$2:$C$213,A4,Tickets!$M$2:$M$213)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COUNTIF(Tickets!$C$2:$C$213,A5)</f>
        <v/>
      </c>
      <c r="E5" s="7">
        <f>SUMIF(Tickets!$C$2:$C$213,A5,Tickets!$M$2:$M$213)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COUNTIF(Tickets!$C$2:$C$213,A6)</f>
        <v/>
      </c>
      <c r="E6" s="7">
        <f>SUMIF(Tickets!$C$2:$C$213,A6,Tickets!$M$2:$M$213)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COUNTIF(Tickets!$C$2:$C$213,A7)</f>
        <v/>
      </c>
      <c r="E7" s="7">
        <f>SUMIF(Tickets!$C$2:$C$213,A7,Tickets!$M$2:$M$213)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COUNTIF(Tickets!$C$2:$C$213,A8)</f>
        <v/>
      </c>
      <c r="E8" s="7">
        <f>SUMIF(Tickets!$C$2:$C$213,A8,Tickets!$M$2:$M$213)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COUNTIF(Tickets!$C$2:$C$213,A9)</f>
        <v/>
      </c>
      <c r="E9" s="7">
        <f>SUMIF(Tickets!$C$2:$C$213,A9,Tickets!$M$2:$M$213)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COUNTIF(Tickets!$C$2:$C$213,A10)</f>
        <v/>
      </c>
      <c r="E10" s="7">
        <f>SUMIF(Tickets!$C$2:$C$213,A10,Tickets!$M$2:$M$213)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COUNTIF(Tickets!$C$2:$C$213,A11)</f>
        <v/>
      </c>
      <c r="E11" s="7">
        <f>SUMIF(Tickets!$C$2:$C$213,A11,Tickets!$M$2:$M$213)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COUNTIF(Tickets!$C$2:$C$213,A12)</f>
        <v/>
      </c>
      <c r="E12" s="7">
        <f>SUMIF(Tickets!$C$2:$C$213,A12,Tickets!$M$2:$M$213)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COUNTIF(Tickets!$C$2:$C$213,A13)</f>
        <v/>
      </c>
      <c r="E13" s="7">
        <f>SUMIF(Tickets!$C$2:$C$213,A13,Tickets!$M$2:$M$213)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COUNTIF(Tickets!$C$2:$C$213,A14)</f>
        <v/>
      </c>
      <c r="E14" s="7">
        <f>SUMIF(Tickets!$C$2:$C$213,A14,Tickets!$M$2:$M$213)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COUNTIF(Tickets!$C$2:$C$213,A15)</f>
        <v/>
      </c>
      <c r="E15" s="7">
        <f>SUMIF(Tickets!$C$2:$C$213,A15,Tickets!$M$2:$M$213)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COUNTIF(Tickets!$C$2:$C$213,A16)</f>
        <v/>
      </c>
      <c r="E16" s="7">
        <f>SUMIF(Tickets!$C$2:$C$213,A16,Tickets!$M$2:$M$213)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COUNTIF(Tickets!$C$2:$C$213,A17)</f>
        <v/>
      </c>
      <c r="E17" s="7">
        <f>SUMIF(Tickets!$C$2:$C$213,A17,Tickets!$M$2:$M$213)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COUNTIF(Tickets!$C$2:$C$213,A18)</f>
        <v/>
      </c>
      <c r="E18" s="7">
        <f>SUMIF(Tickets!$C$2:$C$213,A18,Tickets!$M$2:$M$213)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COUNTIF(Tickets!$C$2:$C$213,A19)</f>
        <v/>
      </c>
      <c r="E19" s="7">
        <f>SUMIF(Tickets!$C$2:$C$213,A19,Tickets!$M$2:$M$213)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COUNTIF(Tickets!$C$2:$C$213,A20)</f>
        <v/>
      </c>
      <c r="E20" s="7">
        <f>SUMIF(Tickets!$C$2:$C$213,A20,Tickets!$M$2:$M$213)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COUNTIF(Tickets!$C$2:$C$213,A21)</f>
        <v/>
      </c>
      <c r="E21" s="7">
        <f>SUMIF(Tickets!$C$2:$C$213,A21,Tickets!$M$2:$M$213)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COUNTIF(Tickets!$C$2:$C$213,A22)</f>
        <v/>
      </c>
      <c r="E22" s="7">
        <f>SUMIF(Tickets!$C$2:$C$213,A22,Tickets!$M$2:$M$213)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COUNTIF(Tickets!$C$2:$C$213,A23)</f>
        <v/>
      </c>
      <c r="E23" s="7">
        <f>SUMIF(Tickets!$C$2:$C$213,A23,Tickets!$M$2:$M$213)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COUNTIF(Tickets!$C$2:$C$213,A24)</f>
        <v/>
      </c>
      <c r="E24" s="7">
        <f>SUMIF(Tickets!$C$2:$C$213,A24,Tickets!$M$2:$M$213)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COUNTIF(Tickets!$C$2:$C$213,A25)</f>
        <v/>
      </c>
      <c r="E25" s="7">
        <f>SUMIF(Tickets!$C$2:$C$213,A25,Tickets!$M$2:$M$213)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COUNTIF(Tickets!$C$2:$C$213,A26)</f>
        <v/>
      </c>
      <c r="E26" s="7">
        <f>SUMIF(Tickets!$C$2:$C$213,A26,Tickets!$M$2:$M$213)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COUNTIF(Tickets!$C$2:$C$213,A27)</f>
        <v/>
      </c>
      <c r="E27" s="7">
        <f>SUMIF(Tickets!$C$2:$C$213,A27,Tickets!$M$2:$M$213)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COUNTIF(Tickets!$C$2:$C$213,A28)</f>
        <v/>
      </c>
      <c r="E28" s="7">
        <f>SUMIF(Tickets!$C$2:$C$213,A28,Tickets!$M$2:$M$213)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COUNTIF(Tickets!$C$2:$C$213,A29)</f>
        <v/>
      </c>
      <c r="E29" s="7">
        <f>SUMIF(Tickets!$C$2:$C$213,A29,Tickets!$M$2:$M$213)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COUNTIF(Tickets!$C$2:$C$213,A30)</f>
        <v/>
      </c>
      <c r="E30" s="7">
        <f>SUMIF(Tickets!$C$2:$C$213,A30,Tickets!$M$2:$M$213)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COUNTIF(Tickets!$C$2:$C$213,A31)</f>
        <v/>
      </c>
      <c r="E31" s="7">
        <f>SUMIF(Tickets!$C$2:$C$213,A31,Tickets!$M$2:$M$213)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COUNTIF(Tickets!$C$2:$C$213,A32)</f>
        <v/>
      </c>
      <c r="E32" s="7">
        <f>SUMIF(Tickets!$C$2:$C$213,A32,Tickets!$M$2:$M$213)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COUNTIF(Tickets!$C$2:$C$213,A33)</f>
        <v/>
      </c>
      <c r="E33" s="7">
        <f>SUMIF(Tickets!$C$2:$C$213,A33,Tickets!$M$2:$M$213)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COUNTIF(Tickets!$C$2:$C$213,A34)</f>
        <v/>
      </c>
      <c r="E34" s="7">
        <f>SUMIF(Tickets!$C$2:$C$213,A34,Tickets!$M$2:$M$213)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COUNTIF(Tickets!$C$2:$C$213,A35)</f>
        <v/>
      </c>
      <c r="E35" s="7">
        <f>SUMIF(Tickets!$C$2:$C$213,A35,Tickets!$M$2:$M$213)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COUNTIF(Tickets!$C$2:$C$213,A36)</f>
        <v/>
      </c>
      <c r="E36" s="7">
        <f>SUMIF(Tickets!$C$2:$C$213,A36,Tickets!$M$2:$M$213)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COUNTIF(Tickets!$C$2:$C$213,A37)</f>
        <v/>
      </c>
      <c r="E37" s="7">
        <f>SUMIF(Tickets!$C$2:$C$213,A37,Tickets!$M$2:$M$213)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COUNTIF(Tickets!$C$2:$C$213,A38)</f>
        <v/>
      </c>
      <c r="E38" s="7">
        <f>SUMIF(Tickets!$C$2:$C$213,A38,Tickets!$M$2:$M$213)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COUNTIF(Tickets!$C$2:$C$213,A39)</f>
        <v/>
      </c>
      <c r="E39" s="7">
        <f>SUMIF(Tickets!$C$2:$C$213,A39,Tickets!$M$2:$M$213)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COUNTIF(Tickets!$C$2:$C$213,A40)</f>
        <v/>
      </c>
      <c r="E40" s="7">
        <f>SUMIF(Tickets!$C$2:$C$213,A40,Tickets!$M$2:$M$213)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COUNTIF(Tickets!$C$2:$C$213,A41)</f>
        <v/>
      </c>
      <c r="E41" s="7">
        <f>SUMIF(Tickets!$C$2:$C$213,A41,Tickets!$M$2:$M$213)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COUNTIF(Tickets!$C$2:$C$213,A42)</f>
        <v/>
      </c>
      <c r="E42" s="7">
        <f>SUMIF(Tickets!$C$2:$C$213,A42,Tickets!$M$2:$M$213)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COUNTIF(Tickets!$C$2:$C$213,A43)</f>
        <v/>
      </c>
      <c r="E43" s="7">
        <f>SUMIF(Tickets!$C$2:$C$213,A43,Tickets!$M$2:$M$213)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COUNTIF(Tickets!$C$2:$C$213,A44)</f>
        <v/>
      </c>
      <c r="E44" s="7">
        <f>SUMIF(Tickets!$C$2:$C$213,A44,Tickets!$M$2:$M$213)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COUNTIF(Tickets!$C$2:$C$213,A45)</f>
        <v/>
      </c>
      <c r="E45" s="7">
        <f>SUMIF(Tickets!$C$2:$C$213,A45,Tickets!$M$2:$M$213)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COUNTIF(Tickets!$C$2:$C$213,A46)</f>
        <v/>
      </c>
      <c r="E46" s="7">
        <f>SUMIF(Tickets!$C$2:$C$213,A46,Tickets!$M$2:$M$213)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COUNTIF(Tickets!$C$2:$C$213,A47)</f>
        <v/>
      </c>
      <c r="E47" s="7">
        <f>SUMIF(Tickets!$C$2:$C$213,A47,Tickets!$M$2:$M$213)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COUNTIF(Tickets!$C$2:$C$213,A48)</f>
        <v/>
      </c>
      <c r="E48" s="7">
        <f>SUMIF(Tickets!$C$2:$C$213,A48,Tickets!$M$2:$M$213)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COUNTIF(Tickets!$C$2:$C$213,A49)</f>
        <v/>
      </c>
      <c r="E49" s="7">
        <f>SUMIF(Tickets!$C$2:$C$213,A49,Tickets!$M$2:$M$213)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COUNTIF(Tickets!$C$2:$C$213,A50)</f>
        <v/>
      </c>
      <c r="E50" s="7">
        <f>SUMIF(Tickets!$C$2:$C$213,A50,Tickets!$M$2:$M$213)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COUNTIF(Tickets!$C$2:$C$213,A51)</f>
        <v/>
      </c>
      <c r="E51" s="7">
        <f>SUMIF(Tickets!$C$2:$C$213,A51,Tickets!$M$2:$M$213)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COUNTIF(Tickets!$C$2:$C$213,A52)</f>
        <v/>
      </c>
      <c r="E52" s="7">
        <f>SUMIF(Tickets!$C$2:$C$213,A52,Tickets!$M$2:$M$213)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COUNTIF(Tickets!$C$2:$C$213,A53)</f>
        <v/>
      </c>
      <c r="E53" s="7">
        <f>SUMIF(Tickets!$C$2:$C$213,A53,Tickets!$M$2:$M$213)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COUNTIF(Tickets!$C$2:$C$213,A54)</f>
        <v/>
      </c>
      <c r="E54" s="7">
        <f>SUMIF(Tickets!$C$2:$C$213,A54,Tickets!$M$2:$M$213)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COUNTIF(Tickets!$C$2:$C$213,A55)</f>
        <v/>
      </c>
      <c r="E55" s="7">
        <f>SUMIF(Tickets!$C$2:$C$213,A55,Tickets!$M$2:$M$213)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COUNTIF(Tickets!$C$2:$C$213,A56)</f>
        <v/>
      </c>
      <c r="E56" s="7">
        <f>SUMIF(Tickets!$C$2:$C$213,A56,Tickets!$M$2:$M$213)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COUNTIF(Tickets!$C$2:$C$213,A57)</f>
        <v/>
      </c>
      <c r="E57" s="7">
        <f>SUMIF(Tickets!$C$2:$C$213,A57,Tickets!$M$2:$M$213)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COUNTIF(Tickets!$C$2:$C$213,A58)</f>
        <v/>
      </c>
      <c r="E58" s="7">
        <f>SUMIF(Tickets!$C$2:$C$213,A58,Tickets!$M$2:$M$213)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COUNTIF(Tickets!$C$2:$C$213,A59)</f>
        <v/>
      </c>
      <c r="E59" s="7">
        <f>SUMIF(Tickets!$C$2:$C$213,A59,Tickets!$M$2:$M$213)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COUNTIF(Tickets!$C$2:$C$213,A60)</f>
        <v/>
      </c>
      <c r="E60" s="7">
        <f>SUMIF(Tickets!$C$2:$C$213,A60,Tickets!$M$2:$M$213)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COUNTIF(Tickets!$C$2:$C$213,A61)</f>
        <v/>
      </c>
      <c r="E61" s="7">
        <f>SUMIF(Tickets!$C$2:$C$213,A61,Tickets!$M$2:$M$213)</f>
        <v/>
      </c>
    </row>
    <row r="62">
      <c r="A62" s="7" t="inlineStr">
        <is>
          <t>E7.6</t>
        </is>
      </c>
      <c r="B62" s="7" t="inlineStr">
        <is>
          <t>L7</t>
        </is>
      </c>
      <c r="C62" s="7" t="inlineStr">
        <is>
          <t>Arborescence de structure</t>
        </is>
      </c>
      <c r="D62" s="7">
        <f>COUNTIF(Tickets!$C$2:$C$213,A62)</f>
        <v/>
      </c>
      <c r="E62" s="7">
        <f>SUMIF(Tickets!$C$2:$C$213,A62,Tickets!$M$2:$M$213)</f>
        <v/>
      </c>
    </row>
    <row r="63">
      <c r="A63" s="7" t="inlineStr">
        <is>
          <t>E7.7</t>
        </is>
      </c>
      <c r="B63" s="7" t="inlineStr">
        <is>
          <t>L7</t>
        </is>
      </c>
      <c r="C63" s="7" t="inlineStr">
        <is>
          <t>Qualité frontend</t>
        </is>
      </c>
      <c r="D63" s="7">
        <f>COUNTIF(Tickets!$C$2:$C$213,A63)</f>
        <v/>
      </c>
      <c r="E63" s="7">
        <f>SUMIF(Tickets!$C$2:$C$213,A63,Tickets!$M$2:$M$213)</f>
        <v/>
      </c>
    </row>
    <row r="64">
      <c r="A64" s="3" t="inlineStr">
        <is>
          <t>Total</t>
        </is>
      </c>
      <c r="D64" s="3">
        <f>SUM(D2:D63)</f>
        <v/>
      </c>
      <c r="E64" s="3">
        <f>SUM(E2:E63)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2026-10-19T22:36:39Z</dcterms:created>
  <dcterms:modified xmlns:dcterms="http://purl.org/dc/terms/" xmlns:xsi="http://www.w3.org/2001/XMLSchema-instance" xsi:type="dcterms:W3CDTF">2026-10-19T22:36:39Z</dcterms:modified>
</cp:coreProperties>
</file>